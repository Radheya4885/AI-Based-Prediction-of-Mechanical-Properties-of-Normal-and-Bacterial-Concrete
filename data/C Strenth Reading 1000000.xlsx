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3"/>
  </bookViews>
  <sheets>
    <sheet name="Comp 6" sheetId="1" r:id="rId1"/>
    <sheet name="Sheet2" sheetId="2" r:id="rId2"/>
    <sheet name="Final Result" sheetId="3" r:id="rId3"/>
    <sheet name="105 c" sheetId="4" r:id="rId4"/>
    <sheet name="c" sheetId="7" r:id="rId5"/>
    <sheet name="f" sheetId="8" r:id="rId6"/>
    <sheet name="t" sheetId="9" r:id="rId7"/>
    <sheet name="Sheet1" sheetId="10" r:id="rId8"/>
    <sheet name="Sheet3" sheetId="11" r:id="rId9"/>
    <sheet name="RCPT" sheetId="12" r:id="rId10"/>
    <sheet name="Water Absorption" sheetId="13" r:id="rId11"/>
  </sheets>
  <calcPr calcId="144525"/>
</workbook>
</file>

<file path=xl/calcChain.xml><?xml version="1.0" encoding="utf-8"?>
<calcChain xmlns="http://schemas.openxmlformats.org/spreadsheetml/2006/main">
  <c r="M105" i="10" l="1"/>
  <c r="M106" i="10" s="1"/>
  <c r="L105" i="10"/>
  <c r="L106" i="10" s="1"/>
  <c r="K105" i="10"/>
  <c r="K106" i="10" s="1"/>
  <c r="J105" i="10"/>
  <c r="J106" i="10" s="1"/>
  <c r="I105" i="10"/>
  <c r="I106" i="10" s="1"/>
  <c r="H105" i="10"/>
  <c r="H106" i="10" s="1"/>
  <c r="G105" i="10"/>
  <c r="G106" i="10" s="1"/>
  <c r="F105" i="10"/>
  <c r="F106" i="10" s="1"/>
  <c r="E105" i="10"/>
  <c r="E106" i="10" s="1"/>
  <c r="D105" i="10"/>
  <c r="D106" i="10" s="1"/>
  <c r="C105" i="10"/>
  <c r="C106" i="10" s="1"/>
  <c r="B105" i="10"/>
  <c r="B106" i="10" s="1"/>
  <c r="U35" i="4"/>
  <c r="U36" i="4"/>
  <c r="U37" i="4"/>
  <c r="U38" i="4"/>
  <c r="U39" i="4"/>
  <c r="U34" i="4"/>
  <c r="N35" i="4"/>
  <c r="N36" i="4"/>
  <c r="N37" i="4"/>
  <c r="N38" i="4"/>
  <c r="N39" i="4"/>
  <c r="N34" i="4"/>
  <c r="F35" i="4"/>
  <c r="F36" i="4"/>
  <c r="F37" i="4"/>
  <c r="F38" i="4"/>
  <c r="F39" i="4"/>
  <c r="F34" i="4"/>
  <c r="F40" i="4" s="1"/>
  <c r="F31" i="4"/>
  <c r="F26" i="4"/>
  <c r="F27" i="4"/>
  <c r="F28" i="4"/>
  <c r="F29" i="4"/>
  <c r="F30" i="4"/>
  <c r="F25" i="4"/>
  <c r="N31" i="4"/>
  <c r="N26" i="4"/>
  <c r="N27" i="4"/>
  <c r="N28" i="4"/>
  <c r="N29" i="4"/>
  <c r="N30" i="4"/>
  <c r="N25" i="4"/>
  <c r="U31" i="4"/>
  <c r="U26" i="4"/>
  <c r="U27" i="4"/>
  <c r="U28" i="4"/>
  <c r="U29" i="4"/>
  <c r="U30" i="4"/>
  <c r="U25" i="4"/>
  <c r="U20" i="4"/>
  <c r="U15" i="4"/>
  <c r="U16" i="4"/>
  <c r="U17" i="4"/>
  <c r="U18" i="4"/>
  <c r="U19" i="4"/>
  <c r="U14" i="4"/>
  <c r="N20" i="4"/>
  <c r="N15" i="4"/>
  <c r="N16" i="4"/>
  <c r="N17" i="4"/>
  <c r="N18" i="4"/>
  <c r="N19" i="4"/>
  <c r="N14" i="4"/>
  <c r="F20" i="4"/>
  <c r="F15" i="4"/>
  <c r="F16" i="4"/>
  <c r="F17" i="4"/>
  <c r="F18" i="4"/>
  <c r="F19" i="4"/>
  <c r="F14" i="4"/>
  <c r="U11" i="4"/>
  <c r="U6" i="4"/>
  <c r="U7" i="4"/>
  <c r="U8" i="4"/>
  <c r="U9" i="4"/>
  <c r="U10" i="4"/>
  <c r="U5" i="4"/>
  <c r="N11" i="4"/>
  <c r="N6" i="4"/>
  <c r="N7" i="4"/>
  <c r="N8" i="4"/>
  <c r="N9" i="4"/>
  <c r="N10" i="4"/>
  <c r="N5" i="4"/>
  <c r="U40" i="4" l="1"/>
  <c r="N40" i="4"/>
  <c r="F11" i="4"/>
  <c r="F12" i="4"/>
  <c r="F5" i="4"/>
  <c r="F6" i="4"/>
  <c r="F7" i="4"/>
  <c r="F8" i="4"/>
  <c r="F9" i="4"/>
  <c r="F10" i="4"/>
  <c r="I30" i="4"/>
  <c r="D55" i="4"/>
  <c r="D66" i="4" s="1"/>
  <c r="C57" i="4"/>
  <c r="C68" i="4" s="1"/>
  <c r="D58" i="4"/>
  <c r="D59" i="4"/>
  <c r="D70" i="4" s="1"/>
  <c r="R45" i="4"/>
  <c r="R55" i="4" s="1"/>
  <c r="R66" i="4" s="1"/>
  <c r="S45" i="4"/>
  <c r="R46" i="4"/>
  <c r="R56" i="4" s="1"/>
  <c r="R67" i="4" s="1"/>
  <c r="S46" i="4"/>
  <c r="U46" i="4" s="1"/>
  <c r="R47" i="4"/>
  <c r="R57" i="4" s="1"/>
  <c r="R68" i="4" s="1"/>
  <c r="S47" i="4"/>
  <c r="R48" i="4"/>
  <c r="R58" i="4" s="1"/>
  <c r="R69" i="4" s="1"/>
  <c r="S48" i="4"/>
  <c r="U48" i="4" s="1"/>
  <c r="R49" i="4"/>
  <c r="R59" i="4" s="1"/>
  <c r="R70" i="4" s="1"/>
  <c r="S49" i="4"/>
  <c r="S44" i="4"/>
  <c r="R44" i="4"/>
  <c r="R54" i="4" s="1"/>
  <c r="R65" i="4" s="1"/>
  <c r="D45" i="4"/>
  <c r="D46" i="4"/>
  <c r="D47" i="4"/>
  <c r="F47" i="4" s="1"/>
  <c r="D48" i="4"/>
  <c r="D49" i="4"/>
  <c r="C45" i="4"/>
  <c r="C55" i="4" s="1"/>
  <c r="C66" i="4" s="1"/>
  <c r="C46" i="4"/>
  <c r="C56" i="4" s="1"/>
  <c r="C67" i="4" s="1"/>
  <c r="C47" i="4"/>
  <c r="C48" i="4"/>
  <c r="C58" i="4" s="1"/>
  <c r="C69" i="4" s="1"/>
  <c r="C49" i="4"/>
  <c r="C59" i="4" s="1"/>
  <c r="C70" i="4" s="1"/>
  <c r="C44" i="4"/>
  <c r="C54" i="4" s="1"/>
  <c r="C65" i="4" s="1"/>
  <c r="R35" i="4"/>
  <c r="S35" i="4"/>
  <c r="R36" i="4"/>
  <c r="S36" i="4"/>
  <c r="R37" i="4"/>
  <c r="S37" i="4"/>
  <c r="R38" i="4"/>
  <c r="S38" i="4"/>
  <c r="R39" i="4"/>
  <c r="S39" i="4"/>
  <c r="S34" i="4"/>
  <c r="R34" i="4"/>
  <c r="K35" i="4"/>
  <c r="K45" i="4" s="1"/>
  <c r="K55" i="4" s="1"/>
  <c r="K66" i="4" s="1"/>
  <c r="L35" i="4"/>
  <c r="L45" i="4" s="1"/>
  <c r="K36" i="4"/>
  <c r="K46" i="4" s="1"/>
  <c r="K56" i="4" s="1"/>
  <c r="K67" i="4" s="1"/>
  <c r="L36" i="4"/>
  <c r="L46" i="4" s="1"/>
  <c r="K37" i="4"/>
  <c r="K47" i="4" s="1"/>
  <c r="K57" i="4" s="1"/>
  <c r="K68" i="4" s="1"/>
  <c r="L37" i="4"/>
  <c r="L47" i="4" s="1"/>
  <c r="K38" i="4"/>
  <c r="K48" i="4" s="1"/>
  <c r="K58" i="4" s="1"/>
  <c r="K69" i="4" s="1"/>
  <c r="L38" i="4"/>
  <c r="L48" i="4" s="1"/>
  <c r="K39" i="4"/>
  <c r="K49" i="4" s="1"/>
  <c r="K59" i="4" s="1"/>
  <c r="K70" i="4" s="1"/>
  <c r="L39" i="4"/>
  <c r="L49" i="4" s="1"/>
  <c r="L34" i="4"/>
  <c r="L44" i="4" s="1"/>
  <c r="K34" i="4"/>
  <c r="K44" i="4" s="1"/>
  <c r="K54" i="4" s="1"/>
  <c r="D35" i="4"/>
  <c r="D36" i="4"/>
  <c r="D37" i="4"/>
  <c r="D38" i="4"/>
  <c r="D39" i="4"/>
  <c r="D34" i="4"/>
  <c r="D44" i="4" s="1"/>
  <c r="C35" i="4"/>
  <c r="C36" i="4"/>
  <c r="C37" i="4"/>
  <c r="C38" i="4"/>
  <c r="C39" i="4"/>
  <c r="C34" i="4"/>
  <c r="U49" i="4" l="1"/>
  <c r="U47" i="4"/>
  <c r="U45" i="4"/>
  <c r="S58" i="4"/>
  <c r="U58" i="4" s="1"/>
  <c r="U44" i="4"/>
  <c r="S59" i="4"/>
  <c r="U59" i="4" s="1"/>
  <c r="S57" i="4"/>
  <c r="U57" i="4" s="1"/>
  <c r="S55" i="4"/>
  <c r="U55" i="4" s="1"/>
  <c r="S56" i="4"/>
  <c r="U56" i="4" s="1"/>
  <c r="S54" i="4"/>
  <c r="S65" i="4" s="1"/>
  <c r="U65" i="4" s="1"/>
  <c r="L58" i="4"/>
  <c r="L69" i="4" s="1"/>
  <c r="N69" i="4" s="1"/>
  <c r="N48" i="4"/>
  <c r="L54" i="4"/>
  <c r="N54" i="4" s="1"/>
  <c r="N44" i="4"/>
  <c r="L56" i="4"/>
  <c r="L67" i="4" s="1"/>
  <c r="N67" i="4" s="1"/>
  <c r="N46" i="4"/>
  <c r="L59" i="4"/>
  <c r="N59" i="4" s="1"/>
  <c r="N49" i="4"/>
  <c r="L57" i="4"/>
  <c r="L68" i="4" s="1"/>
  <c r="N68" i="4" s="1"/>
  <c r="N47" i="4"/>
  <c r="L55" i="4"/>
  <c r="N55" i="4" s="1"/>
  <c r="N45" i="4"/>
  <c r="F70" i="4"/>
  <c r="D57" i="4"/>
  <c r="F66" i="4"/>
  <c r="F46" i="4"/>
  <c r="D54" i="4"/>
  <c r="D65" i="4" s="1"/>
  <c r="F65" i="4" s="1"/>
  <c r="F44" i="4"/>
  <c r="F49" i="4"/>
  <c r="F45" i="4"/>
  <c r="F58" i="4"/>
  <c r="D56" i="4"/>
  <c r="F48" i="4"/>
  <c r="S70" i="4"/>
  <c r="U70" i="4" s="1"/>
  <c r="S69" i="4"/>
  <c r="U69" i="4" s="1"/>
  <c r="D69" i="4"/>
  <c r="F69" i="4" s="1"/>
  <c r="F59" i="4"/>
  <c r="F57" i="4"/>
  <c r="F55" i="4"/>
  <c r="D68" i="4"/>
  <c r="F68" i="4" s="1"/>
  <c r="S15" i="3"/>
  <c r="S16" i="3"/>
  <c r="S19" i="3"/>
  <c r="S14" i="3"/>
  <c r="T15" i="3"/>
  <c r="V15" i="3" s="1"/>
  <c r="T16" i="3"/>
  <c r="V16" i="3" s="1"/>
  <c r="T17" i="3"/>
  <c r="S17" i="3" s="1"/>
  <c r="T18" i="3"/>
  <c r="S18" i="3" s="1"/>
  <c r="T19" i="3"/>
  <c r="V19" i="3" s="1"/>
  <c r="T14" i="3"/>
  <c r="V14" i="3" s="1"/>
  <c r="V6" i="3"/>
  <c r="V7" i="3"/>
  <c r="V8" i="3"/>
  <c r="V9" i="3"/>
  <c r="V10" i="3"/>
  <c r="V5" i="3"/>
  <c r="U6" i="3"/>
  <c r="U7" i="3"/>
  <c r="U8" i="3"/>
  <c r="U9" i="3"/>
  <c r="U10" i="3"/>
  <c r="U5" i="3"/>
  <c r="U54" i="4" l="1"/>
  <c r="U60" i="4" s="1"/>
  <c r="U50" i="4"/>
  <c r="F54" i="4"/>
  <c r="S66" i="4"/>
  <c r="U66" i="4" s="1"/>
  <c r="N65" i="4"/>
  <c r="L66" i="4"/>
  <c r="N66" i="4" s="1"/>
  <c r="L70" i="4"/>
  <c r="N70" i="4" s="1"/>
  <c r="S67" i="4"/>
  <c r="U67" i="4" s="1"/>
  <c r="S68" i="4"/>
  <c r="U68" i="4" s="1"/>
  <c r="N56" i="4"/>
  <c r="N57" i="4"/>
  <c r="N58" i="4"/>
  <c r="N50" i="4"/>
  <c r="F50" i="4"/>
  <c r="F56" i="4"/>
  <c r="D67" i="4"/>
  <c r="F67" i="4" s="1"/>
  <c r="F71" i="4" s="1"/>
  <c r="F60" i="4"/>
  <c r="V18" i="3"/>
  <c r="V17" i="3"/>
  <c r="S6" i="3"/>
  <c r="S7" i="3"/>
  <c r="S8" i="3"/>
  <c r="S9" i="3"/>
  <c r="S10" i="3"/>
  <c r="S5" i="3"/>
  <c r="R6" i="3"/>
  <c r="R7" i="3"/>
  <c r="R8" i="3"/>
  <c r="R9" i="3"/>
  <c r="R10" i="3"/>
  <c r="R5" i="3"/>
  <c r="Q6" i="3"/>
  <c r="Q7" i="3"/>
  <c r="Q8" i="3"/>
  <c r="Q9" i="3"/>
  <c r="Q10" i="3"/>
  <c r="Q5" i="3"/>
  <c r="N71" i="4" l="1"/>
  <c r="U71" i="4"/>
  <c r="N60" i="4"/>
  <c r="C105" i="2"/>
  <c r="D105" i="2"/>
  <c r="E105" i="2"/>
  <c r="F105" i="2"/>
  <c r="F106" i="2" s="1"/>
  <c r="G105" i="2"/>
  <c r="H105" i="2"/>
  <c r="I105" i="2"/>
  <c r="J105" i="2"/>
  <c r="J106" i="2" s="1"/>
  <c r="K105" i="2"/>
  <c r="L105" i="2"/>
  <c r="M105" i="2"/>
  <c r="C106" i="2"/>
  <c r="D106" i="2"/>
  <c r="E106" i="2"/>
  <c r="G106" i="2"/>
  <c r="H106" i="2"/>
  <c r="I106" i="2"/>
  <c r="K106" i="2"/>
  <c r="L106" i="2"/>
  <c r="M106" i="2"/>
  <c r="B106" i="2"/>
  <c r="B105" i="2"/>
</calcChain>
</file>

<file path=xl/sharedStrings.xml><?xml version="1.0" encoding="utf-8"?>
<sst xmlns="http://schemas.openxmlformats.org/spreadsheetml/2006/main" count="2071" uniqueCount="60">
  <si>
    <t>Concrete Type</t>
  </si>
  <si>
    <t>Curing Age (Days)</t>
  </si>
  <si>
    <t>Cement</t>
  </si>
  <si>
    <t>Bacteria</t>
  </si>
  <si>
    <t>Bacterial Concentration (cells/mL)</t>
  </si>
  <si>
    <t>Compressive Strength (MPa)</t>
  </si>
  <si>
    <t>Normal Concrete</t>
  </si>
  <si>
    <t>OPC 53 (UltraTech)</t>
  </si>
  <si>
    <t>Bacillus subtilis</t>
  </si>
  <si>
    <t>N</t>
  </si>
  <si>
    <t>BC</t>
  </si>
  <si>
    <t>Days</t>
  </si>
  <si>
    <t>Bacterial Concrerte</t>
  </si>
  <si>
    <t>7 BC</t>
  </si>
  <si>
    <t>14 N</t>
  </si>
  <si>
    <t>14 BC</t>
  </si>
  <si>
    <t>21 N</t>
  </si>
  <si>
    <t>21 BC</t>
  </si>
  <si>
    <t>28 N</t>
  </si>
  <si>
    <t>28 BC</t>
  </si>
  <si>
    <t>56 N</t>
  </si>
  <si>
    <t>56 BC</t>
  </si>
  <si>
    <t>90 N</t>
  </si>
  <si>
    <t>90 BC</t>
  </si>
  <si>
    <t>Sample No</t>
  </si>
  <si>
    <t>7 N</t>
  </si>
  <si>
    <t xml:space="preserve">Normal Concrete </t>
  </si>
  <si>
    <t>6 C</t>
  </si>
  <si>
    <t>Normal Concret</t>
  </si>
  <si>
    <t>Bacterial Concrete</t>
  </si>
  <si>
    <t>Bacterial Concrere</t>
  </si>
  <si>
    <t>c</t>
  </si>
  <si>
    <t>f</t>
  </si>
  <si>
    <t>t</t>
  </si>
  <si>
    <t>Average Normal Strength</t>
  </si>
  <si>
    <t>Average BC Strength</t>
  </si>
  <si>
    <t>Normal Concrere</t>
  </si>
  <si>
    <t>Bacterial Concretre</t>
  </si>
  <si>
    <t>NC</t>
  </si>
  <si>
    <t>BC3</t>
  </si>
  <si>
    <t>BC4</t>
  </si>
  <si>
    <t>BC5</t>
  </si>
  <si>
    <t>BC6</t>
  </si>
  <si>
    <t>BC7</t>
  </si>
  <si>
    <t>BC8</t>
  </si>
  <si>
    <t>BC9</t>
  </si>
  <si>
    <t xml:space="preserve"> Normal Concrete Strength</t>
  </si>
  <si>
    <t>Bacterial Concrete Strength</t>
  </si>
  <si>
    <t>Sr. No</t>
  </si>
  <si>
    <t>RCPT (Coulombs)</t>
  </si>
  <si>
    <t>Control (0)</t>
  </si>
  <si>
    <t>Bacterial Dose (cells/ml)</t>
  </si>
  <si>
    <t>Water Absorption (%)</t>
  </si>
  <si>
    <t>10³</t>
  </si>
  <si>
    <t>10⁴</t>
  </si>
  <si>
    <t>10⁵</t>
  </si>
  <si>
    <t>10⁶</t>
  </si>
  <si>
    <t>10⁷</t>
  </si>
  <si>
    <t>10⁸</t>
  </si>
  <si>
    <t>10⁹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</si>
</sst>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/>
    <xf numFmtId="0" fontId="0" fillId="0" borderId="1" xfId="0" applyBorder="1" applyAlignment="1">
      <alignment vertical="top"/>
    </xf>
    <xf numFmtId="2" fontId="0" fillId="0" borderId="1" xfId="0" applyNumberFormat="1" applyBorder="1"/>
    <xf numFmtId="2" fontId="4" fillId="0" borderId="1" xfId="0" applyNumberFormat="1" applyFont="1" applyBorder="1"/>
    <xf numFmtId="2" fontId="3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5" fillId="2" borderId="0" xfId="0" applyFont="1" applyFill="1"/>
    <xf numFmtId="2" fontId="0" fillId="0" borderId="1" xfId="0" applyNumberFormat="1" applyFill="1" applyBorder="1" applyAlignment="1">
      <alignment horizontal="center"/>
    </xf>
    <xf numFmtId="2" fontId="4" fillId="3" borderId="1" xfId="0" applyNumberFormat="1" applyFont="1" applyFill="1" applyBorder="1"/>
    <xf numFmtId="2" fontId="4" fillId="0" borderId="1" xfId="0" applyNumberFormat="1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2" fontId="4" fillId="0" borderId="0" xfId="0" applyNumberFormat="1" applyFont="1" applyFill="1" applyBorder="1"/>
    <xf numFmtId="0" fontId="4" fillId="0" borderId="0" xfId="0" applyFont="1" applyBorder="1" applyAlignment="1">
      <alignment wrapText="1"/>
    </xf>
    <xf numFmtId="2" fontId="0" fillId="0" borderId="0" xfId="0" applyNumberFormat="1" applyFont="1" applyBorder="1"/>
    <xf numFmtId="2" fontId="4" fillId="0" borderId="0" xfId="0" applyNumberFormat="1" applyFont="1" applyBorder="1"/>
    <xf numFmtId="0" fontId="3" fillId="0" borderId="0" xfId="0" applyFont="1" applyBorder="1" applyAlignment="1">
      <alignment horizontal="center" vertical="top" wrapText="1"/>
    </xf>
    <xf numFmtId="2" fontId="3" fillId="0" borderId="0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latin typeface="Times New Roman" pitchFamily="18" charset="0"/>
                <a:cs typeface="Times New Roman" pitchFamily="18" charset="0"/>
              </a:rPr>
              <a:t>Compressive Strength of Concrete of Bacterial Constration </a:t>
            </a:r>
            <a:r>
              <a:rPr lang="en-US" sz="10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000" baseline="30000">
                <a:effectLst/>
                <a:latin typeface="Times New Roman" pitchFamily="18" charset="0"/>
                <a:cs typeface="Times New Roman" pitchFamily="18" charset="0"/>
              </a:rPr>
              <a:t>6</a:t>
            </a:r>
            <a:r>
              <a:rPr lang="en-US" sz="10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0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Sheet2!$B$109</c:f>
              <c:strCache>
                <c:ptCount val="1"/>
                <c:pt idx="0">
                  <c:v>Normal Concrete </c:v>
                </c:pt>
              </c:strCache>
            </c:strRef>
          </c:tx>
          <c:invertIfNegative val="0"/>
          <c:cat>
            <c:numRef>
              <c:f>Sheet2!$A$110:$A$115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Sheet2!$B$110:$B$115</c:f>
              <c:numCache>
                <c:formatCode>0.00</c:formatCode>
                <c:ptCount val="6"/>
                <c:pt idx="0">
                  <c:v>19.344400000000004</c:v>
                </c:pt>
                <c:pt idx="1">
                  <c:v>23.533500000000014</c:v>
                </c:pt>
                <c:pt idx="2">
                  <c:v>25.597100000000001</c:v>
                </c:pt>
                <c:pt idx="3">
                  <c:v>28.160699999999999</c:v>
                </c:pt>
                <c:pt idx="4">
                  <c:v>30.916399999999999</c:v>
                </c:pt>
                <c:pt idx="5">
                  <c:v>32.826699999999995</c:v>
                </c:pt>
              </c:numCache>
            </c:numRef>
          </c:val>
        </c:ser>
        <c:ser>
          <c:idx val="2"/>
          <c:order val="1"/>
          <c:tx>
            <c:strRef>
              <c:f>Sheet2!$C$109</c:f>
              <c:strCache>
                <c:ptCount val="1"/>
                <c:pt idx="0">
                  <c:v>Bacterial Concrerte</c:v>
                </c:pt>
              </c:strCache>
            </c:strRef>
          </c:tx>
          <c:invertIfNegative val="0"/>
          <c:cat>
            <c:numRef>
              <c:f>Sheet2!$A$110:$A$115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Sheet2!$C$110:$C$115</c:f>
              <c:numCache>
                <c:formatCode>0.00</c:formatCode>
                <c:ptCount val="6"/>
                <c:pt idx="0">
                  <c:v>22.035899999999998</c:v>
                </c:pt>
                <c:pt idx="1">
                  <c:v>26.490500000000001</c:v>
                </c:pt>
                <c:pt idx="2">
                  <c:v>29.842600000000008</c:v>
                </c:pt>
                <c:pt idx="3">
                  <c:v>33.041899999999998</c:v>
                </c:pt>
                <c:pt idx="4">
                  <c:v>37.240600000000001</c:v>
                </c:pt>
                <c:pt idx="5">
                  <c:v>40.660800000000002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8007936"/>
        <c:axId val="208009856"/>
      </c:barChart>
      <c:catAx>
        <c:axId val="20800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49849696130239934"/>
              <c:y val="0.883310002916302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009856"/>
        <c:crosses val="autoZero"/>
        <c:auto val="1"/>
        <c:lblAlgn val="ctr"/>
        <c:lblOffset val="100"/>
        <c:noMultiLvlLbl val="0"/>
      </c:catAx>
      <c:valAx>
        <c:axId val="208009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Compressive Strength in Mpa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80079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Times New Roman" pitchFamily="18" charset="0"/>
                <a:cs typeface="Times New Roman" pitchFamily="18" charset="0"/>
              </a:rPr>
              <a:t>Flexural Strength</a:t>
            </a:r>
            <a:r>
              <a:rPr lang="en-US" sz="1100" baseline="0">
                <a:latin typeface="Times New Roman" pitchFamily="18" charset="0"/>
                <a:cs typeface="Times New Roman" pitchFamily="18" charset="0"/>
              </a:rPr>
              <a:t> of Concrete of Bacterial Concentration </a:t>
            </a:r>
            <a:r>
              <a:rPr lang="en-US" sz="11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100" baseline="30000">
                <a:effectLst/>
                <a:latin typeface="Times New Roman" pitchFamily="18" charset="0"/>
                <a:cs typeface="Times New Roman" pitchFamily="18" charset="0"/>
              </a:rPr>
              <a:t>5</a:t>
            </a:r>
            <a:r>
              <a:rPr lang="en-US" sz="11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1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'Final Result'!$G$24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'Final Result'!$G$25:$G$30</c:f>
              <c:numCache>
                <c:formatCode>0.00</c:formatCode>
                <c:ptCount val="6"/>
                <c:pt idx="0">
                  <c:v>3.6930000000000005</c:v>
                </c:pt>
                <c:pt idx="1">
                  <c:v>4.2425000000000006</c:v>
                </c:pt>
                <c:pt idx="2">
                  <c:v>4.7919999999999998</c:v>
                </c:pt>
                <c:pt idx="3">
                  <c:v>5.3414999999999999</c:v>
                </c:pt>
                <c:pt idx="4">
                  <c:v>5.7910000000000004</c:v>
                </c:pt>
                <c:pt idx="5">
                  <c:v>6.2404999999999999</c:v>
                </c:pt>
              </c:numCache>
            </c:numRef>
          </c:val>
        </c:ser>
        <c:ser>
          <c:idx val="2"/>
          <c:order val="1"/>
          <c:tx>
            <c:strRef>
              <c:f>'Final Result'!$H$24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'Final Result'!$H$25:$H$30</c:f>
              <c:numCache>
                <c:formatCode>0.00</c:formatCode>
                <c:ptCount val="6"/>
                <c:pt idx="0">
                  <c:v>3.91791</c:v>
                </c:pt>
                <c:pt idx="1">
                  <c:v>4.5671499999999998</c:v>
                </c:pt>
                <c:pt idx="2">
                  <c:v>5.2169500000000006</c:v>
                </c:pt>
                <c:pt idx="3">
                  <c:v>5.7664599999999995</c:v>
                </c:pt>
                <c:pt idx="4">
                  <c:v>6.2156499999999983</c:v>
                </c:pt>
                <c:pt idx="5">
                  <c:v>6.6653099999999981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177536"/>
        <c:axId val="156179456"/>
      </c:barChart>
      <c:catAx>
        <c:axId val="15617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overlay val="0"/>
        </c:title>
        <c:majorTickMark val="out"/>
        <c:minorTickMark val="none"/>
        <c:tickLblPos val="nextTo"/>
        <c:crossAx val="156179456"/>
        <c:crosses val="autoZero"/>
        <c:auto val="1"/>
        <c:lblAlgn val="ctr"/>
        <c:lblOffset val="100"/>
        <c:noMultiLvlLbl val="0"/>
      </c:catAx>
      <c:valAx>
        <c:axId val="15617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Flexural Strength in Mpa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61775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100" b="0">
                <a:latin typeface="Times New Roman" pitchFamily="18" charset="0"/>
                <a:cs typeface="Times New Roman" pitchFamily="18" charset="0"/>
              </a:rPr>
              <a:t>Tensile</a:t>
            </a:r>
            <a:r>
              <a:rPr lang="en-IN" sz="1100" b="0" baseline="0">
                <a:latin typeface="Times New Roman" pitchFamily="18" charset="0"/>
                <a:cs typeface="Times New Roman" pitchFamily="18" charset="0"/>
              </a:rPr>
              <a:t> Strength of Concrete of Bacterial Concentration </a:t>
            </a:r>
            <a:r>
              <a:rPr lang="en-US" sz="11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100" b="0" baseline="30000">
                <a:effectLst/>
                <a:latin typeface="Times New Roman" pitchFamily="18" charset="0"/>
                <a:cs typeface="Times New Roman" pitchFamily="18" charset="0"/>
              </a:rPr>
              <a:t>5</a:t>
            </a:r>
            <a:r>
              <a:rPr lang="en-US" sz="1100" b="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1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9.4256999125109348E-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98862642169728"/>
          <c:y val="0.27986329833770779"/>
          <c:w val="0.81745581802274714"/>
          <c:h val="0.50598534558180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'Final Result'!$O$24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'Final Result'!$N$25:$N$30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'Final Result'!$O$25:$O$30</c:f>
              <c:numCache>
                <c:formatCode>0.00</c:formatCode>
                <c:ptCount val="6"/>
                <c:pt idx="0">
                  <c:v>3.45</c:v>
                </c:pt>
                <c:pt idx="1">
                  <c:v>4.048</c:v>
                </c:pt>
                <c:pt idx="2">
                  <c:v>4.4275000000000002</c:v>
                </c:pt>
                <c:pt idx="3">
                  <c:v>4.8875000000000002</c:v>
                </c:pt>
                <c:pt idx="4">
                  <c:v>5.52</c:v>
                </c:pt>
                <c:pt idx="5">
                  <c:v>5.8649999999999993</c:v>
                </c:pt>
              </c:numCache>
            </c:numRef>
          </c:val>
        </c:ser>
        <c:ser>
          <c:idx val="2"/>
          <c:order val="1"/>
          <c:tx>
            <c:strRef>
              <c:f>'Final Result'!$P$24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'Final Result'!$N$25:$N$30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'Final Result'!$P$25:$P$30</c:f>
              <c:numCache>
                <c:formatCode>0.00</c:formatCode>
                <c:ptCount val="6"/>
                <c:pt idx="0">
                  <c:v>3.8865500000000006</c:v>
                </c:pt>
                <c:pt idx="1">
                  <c:v>4.0245499999999996</c:v>
                </c:pt>
                <c:pt idx="2">
                  <c:v>4.0578500000000037</c:v>
                </c:pt>
                <c:pt idx="3">
                  <c:v>5.8080999999999987</c:v>
                </c:pt>
                <c:pt idx="4">
                  <c:v>6.1398999999999972</c:v>
                </c:pt>
                <c:pt idx="5">
                  <c:v>6.3537999999999926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230784"/>
        <c:axId val="156232704"/>
      </c:barChart>
      <c:catAx>
        <c:axId val="15623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232704"/>
        <c:crosses val="autoZero"/>
        <c:auto val="1"/>
        <c:lblAlgn val="ctr"/>
        <c:lblOffset val="100"/>
        <c:noMultiLvlLbl val="0"/>
      </c:catAx>
      <c:valAx>
        <c:axId val="156232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Strength in Mpa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623078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8.4055336832895886E-2"/>
          <c:y val="0.15400481189851267"/>
          <c:w val="0.8096671041119859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Compressive Strength of Concrete of Bacterial Concentration 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aseline="30000">
                <a:effectLst/>
                <a:latin typeface="Times New Roman" pitchFamily="18" charset="0"/>
                <a:cs typeface="Times New Roman" pitchFamily="18" charset="0"/>
              </a:rPr>
              <a:t>6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1.5269408689183325E-2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844418081512811"/>
          <c:y val="0.23974737532808404"/>
          <c:w val="0.82424359609503639"/>
          <c:h val="0.546101268591426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c'!$C$33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c'!$B$34:$B$39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c'!$C$34:$C$39</c:f>
              <c:numCache>
                <c:formatCode>0.00</c:formatCode>
                <c:ptCount val="6"/>
                <c:pt idx="0">
                  <c:v>17.979999999999997</c:v>
                </c:pt>
                <c:pt idx="1">
                  <c:v>22.299999999999997</c:v>
                </c:pt>
                <c:pt idx="2">
                  <c:v>24.479999999999997</c:v>
                </c:pt>
                <c:pt idx="3">
                  <c:v>26.153499999999994</c:v>
                </c:pt>
                <c:pt idx="4">
                  <c:v>28.979999999999997</c:v>
                </c:pt>
                <c:pt idx="5">
                  <c:v>31.0748</c:v>
                </c:pt>
              </c:numCache>
            </c:numRef>
          </c:val>
        </c:ser>
        <c:ser>
          <c:idx val="2"/>
          <c:order val="1"/>
          <c:tx>
            <c:strRef>
              <c:f>'105 c'!$D$33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c'!$B$34:$B$39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c'!$D$34:$D$39</c:f>
              <c:numCache>
                <c:formatCode>0.00</c:formatCode>
                <c:ptCount val="6"/>
                <c:pt idx="0">
                  <c:v>20.3474</c:v>
                </c:pt>
                <c:pt idx="1">
                  <c:v>24.895500000000009</c:v>
                </c:pt>
                <c:pt idx="2">
                  <c:v>27.935600000000001</c:v>
                </c:pt>
                <c:pt idx="3">
                  <c:v>30.870100000000004</c:v>
                </c:pt>
                <c:pt idx="4">
                  <c:v>33.456299999999985</c:v>
                </c:pt>
                <c:pt idx="5">
                  <c:v>36.011100000000006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354432"/>
        <c:axId val="156355968"/>
      </c:barChart>
      <c:catAx>
        <c:axId val="15635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355968"/>
        <c:crosses val="autoZero"/>
        <c:auto val="1"/>
        <c:lblAlgn val="ctr"/>
        <c:lblOffset val="100"/>
        <c:noMultiLvlLbl val="0"/>
      </c:catAx>
      <c:valAx>
        <c:axId val="156355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Compressive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6354432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Flexural Strength of Concrete of Bacterial Concentration 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aseline="30000">
                <a:effectLst/>
                <a:latin typeface="Times New Roman" pitchFamily="18" charset="0"/>
                <a:cs typeface="Times New Roman" pitchFamily="18" charset="0"/>
              </a:rPr>
              <a:t>6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1.6902668416447931E-2"/>
          <c:y val="3.703703703703703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'105 c'!$K$33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c'!$J$34:$J$39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c'!$K$34:$K$39</c:f>
              <c:numCache>
                <c:formatCode>0.00</c:formatCode>
                <c:ptCount val="6"/>
                <c:pt idx="0">
                  <c:v>2.2906000000000004</c:v>
                </c:pt>
                <c:pt idx="1">
                  <c:v>2.8100000000000009</c:v>
                </c:pt>
                <c:pt idx="2">
                  <c:v>3.2330000000000014</c:v>
                </c:pt>
                <c:pt idx="3">
                  <c:v>3.5292999999999992</c:v>
                </c:pt>
                <c:pt idx="4">
                  <c:v>3.796599999999998</c:v>
                </c:pt>
                <c:pt idx="5">
                  <c:v>4.1201000000000008</c:v>
                </c:pt>
              </c:numCache>
            </c:numRef>
          </c:val>
        </c:ser>
        <c:ser>
          <c:idx val="2"/>
          <c:order val="1"/>
          <c:tx>
            <c:strRef>
              <c:f>'105 c'!$L$33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c'!$J$34:$J$39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c'!$L$34:$L$39</c:f>
              <c:numCache>
                <c:formatCode>0.00</c:formatCode>
                <c:ptCount val="6"/>
                <c:pt idx="0">
                  <c:v>2.5784000000000002</c:v>
                </c:pt>
                <c:pt idx="1">
                  <c:v>3.1780000000000004</c:v>
                </c:pt>
                <c:pt idx="2">
                  <c:v>3.6953000000000005</c:v>
                </c:pt>
                <c:pt idx="3">
                  <c:v>4.1872000000000007</c:v>
                </c:pt>
                <c:pt idx="4">
                  <c:v>4.5574000000000003</c:v>
                </c:pt>
                <c:pt idx="5">
                  <c:v>4.9833000000000007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7949184"/>
        <c:axId val="156238976"/>
      </c:barChart>
      <c:catAx>
        <c:axId val="2079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238976"/>
        <c:crosses val="autoZero"/>
        <c:auto val="1"/>
        <c:lblAlgn val="ctr"/>
        <c:lblOffset val="100"/>
        <c:noMultiLvlLbl val="0"/>
      </c:catAx>
      <c:valAx>
        <c:axId val="156238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Flexural Strength in</a:t>
                </a:r>
                <a:r>
                  <a:rPr lang="en-US" baseline="0"/>
                  <a:t> MPa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0794918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Tensile Strength of Concrete of Bacterial Concentration 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aseline="30000">
                <a:effectLst/>
                <a:latin typeface="Times New Roman" pitchFamily="18" charset="0"/>
                <a:cs typeface="Times New Roman" pitchFamily="18" charset="0"/>
              </a:rPr>
              <a:t>6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2.4895888013998245E-2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40421895315032"/>
          <c:y val="0.17956219014289881"/>
          <c:w val="0.83743746317424606"/>
          <c:h val="0.624804972295129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c'!$R$33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c'!$Q$34:$Q$39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c'!$R$34:$R$39</c:f>
              <c:numCache>
                <c:formatCode>0.00</c:formatCode>
                <c:ptCount val="6"/>
                <c:pt idx="0">
                  <c:v>2.95</c:v>
                </c:pt>
                <c:pt idx="1">
                  <c:v>3.548</c:v>
                </c:pt>
                <c:pt idx="2">
                  <c:v>3.9275000000000002</c:v>
                </c:pt>
                <c:pt idx="3">
                  <c:v>4.3875000000000002</c:v>
                </c:pt>
                <c:pt idx="4">
                  <c:v>5.0199999999999996</c:v>
                </c:pt>
                <c:pt idx="5">
                  <c:v>5.3649999999999993</c:v>
                </c:pt>
              </c:numCache>
            </c:numRef>
          </c:val>
        </c:ser>
        <c:ser>
          <c:idx val="2"/>
          <c:order val="1"/>
          <c:tx>
            <c:strRef>
              <c:f>'105 c'!$S$33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c'!$Q$34:$Q$39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c'!$S$34:$S$39</c:f>
              <c:numCache>
                <c:formatCode>0.00</c:formatCode>
                <c:ptCount val="6"/>
                <c:pt idx="0">
                  <c:v>3.3865500000000006</c:v>
                </c:pt>
                <c:pt idx="1">
                  <c:v>3.5245499999999996</c:v>
                </c:pt>
                <c:pt idx="2">
                  <c:v>3.5578500000000037</c:v>
                </c:pt>
                <c:pt idx="3">
                  <c:v>5.3080999999999987</c:v>
                </c:pt>
                <c:pt idx="4">
                  <c:v>5.6398999999999972</c:v>
                </c:pt>
                <c:pt idx="5">
                  <c:v>5.8537999999999926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528000"/>
        <c:axId val="156530176"/>
      </c:barChart>
      <c:catAx>
        <c:axId val="15652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530176"/>
        <c:crosses val="autoZero"/>
        <c:auto val="1"/>
        <c:lblAlgn val="ctr"/>
        <c:lblOffset val="100"/>
        <c:noMultiLvlLbl val="0"/>
      </c:catAx>
      <c:valAx>
        <c:axId val="15653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652800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48178458212204"/>
          <c:y val="0.15092592592592594"/>
          <c:w val="0.72103935060065538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Compressive Strength of Concrete of Bacterial Concentration 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aseline="30000">
                <a:effectLst/>
                <a:latin typeface="Times New Roman" pitchFamily="18" charset="0"/>
                <a:cs typeface="Times New Roman" pitchFamily="18" charset="0"/>
              </a:rPr>
              <a:t>7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21680255484295"/>
          <c:y val="0.22585848643919509"/>
          <c:w val="0.8311606625703637"/>
          <c:h val="0.601656824146981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c'!$C$43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c'!$B$44:$B$49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c'!$C$44:$C$49</c:f>
              <c:numCache>
                <c:formatCode>0.00</c:formatCode>
                <c:ptCount val="6"/>
                <c:pt idx="0">
                  <c:v>17.379999999999995</c:v>
                </c:pt>
                <c:pt idx="1">
                  <c:v>21.699999999999996</c:v>
                </c:pt>
                <c:pt idx="2">
                  <c:v>23.879999999999995</c:v>
                </c:pt>
                <c:pt idx="3">
                  <c:v>25.553499999999993</c:v>
                </c:pt>
                <c:pt idx="4">
                  <c:v>28.379999999999995</c:v>
                </c:pt>
                <c:pt idx="5">
                  <c:v>30.474799999999998</c:v>
                </c:pt>
              </c:numCache>
            </c:numRef>
          </c:val>
        </c:ser>
        <c:ser>
          <c:idx val="2"/>
          <c:order val="1"/>
          <c:tx>
            <c:strRef>
              <c:f>'105 c'!$D$43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c'!$B$44:$B$49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c'!$D$44:$D$49</c:f>
              <c:numCache>
                <c:formatCode>0.00</c:formatCode>
                <c:ptCount val="6"/>
                <c:pt idx="0">
                  <c:v>19.647400000000001</c:v>
                </c:pt>
                <c:pt idx="1">
                  <c:v>24.19550000000001</c:v>
                </c:pt>
                <c:pt idx="2">
                  <c:v>27.235600000000002</c:v>
                </c:pt>
                <c:pt idx="3">
                  <c:v>30.170100000000005</c:v>
                </c:pt>
                <c:pt idx="4">
                  <c:v>32.756299999999982</c:v>
                </c:pt>
                <c:pt idx="5">
                  <c:v>35.311100000000003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474368"/>
        <c:axId val="156484736"/>
      </c:barChart>
      <c:catAx>
        <c:axId val="15647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484736"/>
        <c:crosses val="autoZero"/>
        <c:auto val="1"/>
        <c:lblAlgn val="ctr"/>
        <c:lblOffset val="100"/>
        <c:noMultiLvlLbl val="0"/>
      </c:catAx>
      <c:valAx>
        <c:axId val="156484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Compressive Srength in Mpa</a:t>
                </a:r>
              </a:p>
            </c:rich>
          </c:tx>
          <c:layout>
            <c:manualLayout>
              <c:xMode val="edge"/>
              <c:yMode val="edge"/>
              <c:x val="2.3852112395661096E-2"/>
              <c:y val="0.25363626421697294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156474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6198258758232734"/>
          <c:y val="0.15555555555555556"/>
          <c:w val="0.69524174773254688"/>
          <c:h val="8.257038075719987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Flexural Strenth of Concrete of Bacterial Concentration 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aseline="30000">
                <a:effectLst/>
                <a:latin typeface="Times New Roman" pitchFamily="18" charset="0"/>
                <a:cs typeface="Times New Roman" pitchFamily="18" charset="0"/>
              </a:rPr>
              <a:t>7</a:t>
            </a:r>
            <a:r>
              <a:rPr lang="en-US" sz="12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1.1715223097112865E-2"/>
          <c:y val="4.166666666666666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'105 c'!$K$43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c'!$Q$44:$Q$49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c'!$K$44:$K$49</c:f>
              <c:numCache>
                <c:formatCode>0.00</c:formatCode>
                <c:ptCount val="6"/>
                <c:pt idx="0">
                  <c:v>1.6906000000000003</c:v>
                </c:pt>
                <c:pt idx="1">
                  <c:v>2.2100000000000009</c:v>
                </c:pt>
                <c:pt idx="2">
                  <c:v>2.6330000000000013</c:v>
                </c:pt>
                <c:pt idx="3">
                  <c:v>2.9292999999999991</c:v>
                </c:pt>
                <c:pt idx="4">
                  <c:v>3.1965999999999979</c:v>
                </c:pt>
                <c:pt idx="5">
                  <c:v>3.5201000000000007</c:v>
                </c:pt>
              </c:numCache>
            </c:numRef>
          </c:val>
        </c:ser>
        <c:ser>
          <c:idx val="2"/>
          <c:order val="1"/>
          <c:tx>
            <c:strRef>
              <c:f>'105 c'!$L$43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c'!$Q$44:$Q$49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c'!$L$44:$L$49</c:f>
              <c:numCache>
                <c:formatCode>0.00</c:formatCode>
                <c:ptCount val="6"/>
                <c:pt idx="0">
                  <c:v>1.8784000000000003</c:v>
                </c:pt>
                <c:pt idx="1">
                  <c:v>2.4780000000000006</c:v>
                </c:pt>
                <c:pt idx="2">
                  <c:v>2.9953000000000003</c:v>
                </c:pt>
                <c:pt idx="3">
                  <c:v>3.4872000000000005</c:v>
                </c:pt>
                <c:pt idx="4">
                  <c:v>3.8574000000000002</c:v>
                </c:pt>
                <c:pt idx="5">
                  <c:v>4.2833000000000006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830720"/>
        <c:axId val="156853376"/>
      </c:barChart>
      <c:catAx>
        <c:axId val="15683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853376"/>
        <c:crosses val="autoZero"/>
        <c:auto val="1"/>
        <c:lblAlgn val="ctr"/>
        <c:lblOffset val="100"/>
        <c:noMultiLvlLbl val="0"/>
      </c:catAx>
      <c:valAx>
        <c:axId val="156853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Flexural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683072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latin typeface="Times New Roman" pitchFamily="18" charset="0"/>
                <a:cs typeface="Times New Roman" pitchFamily="18" charset="0"/>
              </a:rPr>
              <a:t>Tensile Strength of Concrete of Bacterial Concentration 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="0" baseline="30000">
                <a:effectLst/>
                <a:latin typeface="Times New Roman" pitchFamily="18" charset="0"/>
                <a:cs typeface="Times New Roman" pitchFamily="18" charset="0"/>
              </a:rPr>
              <a:t>7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8.3598950131233592E-3"/>
          <c:y val="2.777777777777777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'105 c'!$R$43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c'!$Q$44:$Q$49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c'!$R$44:$R$49</c:f>
              <c:numCache>
                <c:formatCode>0.00</c:formatCode>
                <c:ptCount val="6"/>
                <c:pt idx="0">
                  <c:v>2.35</c:v>
                </c:pt>
                <c:pt idx="1">
                  <c:v>2.948</c:v>
                </c:pt>
                <c:pt idx="2">
                  <c:v>3.3275000000000001</c:v>
                </c:pt>
                <c:pt idx="3">
                  <c:v>3.7875000000000001</c:v>
                </c:pt>
                <c:pt idx="4">
                  <c:v>4.42</c:v>
                </c:pt>
                <c:pt idx="5">
                  <c:v>4.7649999999999997</c:v>
                </c:pt>
              </c:numCache>
            </c:numRef>
          </c:val>
        </c:ser>
        <c:ser>
          <c:idx val="2"/>
          <c:order val="1"/>
          <c:tx>
            <c:strRef>
              <c:f>'105 c'!$S$43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c'!$Q$44:$Q$49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c'!$S$44:$S$49</c:f>
              <c:numCache>
                <c:formatCode>0.00</c:formatCode>
                <c:ptCount val="6"/>
                <c:pt idx="0">
                  <c:v>2.6865500000000004</c:v>
                </c:pt>
                <c:pt idx="1">
                  <c:v>2.8245499999999995</c:v>
                </c:pt>
                <c:pt idx="2">
                  <c:v>2.8578500000000036</c:v>
                </c:pt>
                <c:pt idx="3">
                  <c:v>4.6080999999999985</c:v>
                </c:pt>
                <c:pt idx="4">
                  <c:v>4.9398999999999971</c:v>
                </c:pt>
                <c:pt idx="5">
                  <c:v>5.1537999999999924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882432"/>
        <c:axId val="156884352"/>
      </c:barChart>
      <c:catAx>
        <c:axId val="15688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884352"/>
        <c:crosses val="autoZero"/>
        <c:auto val="1"/>
        <c:lblAlgn val="ctr"/>
        <c:lblOffset val="100"/>
        <c:noMultiLvlLbl val="0"/>
      </c:catAx>
      <c:valAx>
        <c:axId val="156884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688243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latin typeface="Times New Roman" pitchFamily="18" charset="0"/>
                <a:cs typeface="Times New Roman" pitchFamily="18" charset="0"/>
              </a:rPr>
              <a:t>Compressive Strength of Concrete of Bacterial Concentration 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="0" baseline="30000">
                <a:effectLst/>
                <a:latin typeface="Times New Roman" pitchFamily="18" charset="0"/>
                <a:cs typeface="Times New Roman" pitchFamily="18" charset="0"/>
              </a:rPr>
              <a:t>8</a:t>
            </a:r>
            <a:r>
              <a:rPr lang="en-IN" sz="12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1.9062554680664926E-2"/>
          <c:y val="1.3888888888888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854760727065315"/>
          <c:y val="0.24900663458734326"/>
          <c:w val="0.83976025916964114"/>
          <c:h val="0.5970271945173518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c'!$C$53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c'!$Q$54:$Q$59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c'!$C$54:$C$59</c:f>
              <c:numCache>
                <c:formatCode>0.00</c:formatCode>
                <c:ptCount val="6"/>
                <c:pt idx="0">
                  <c:v>16.679999999999996</c:v>
                </c:pt>
                <c:pt idx="1">
                  <c:v>20.999999999999996</c:v>
                </c:pt>
                <c:pt idx="2">
                  <c:v>23.179999999999996</c:v>
                </c:pt>
                <c:pt idx="3">
                  <c:v>24.853499999999993</c:v>
                </c:pt>
                <c:pt idx="4">
                  <c:v>27.679999999999996</c:v>
                </c:pt>
                <c:pt idx="5">
                  <c:v>29.774799999999999</c:v>
                </c:pt>
              </c:numCache>
            </c:numRef>
          </c:val>
        </c:ser>
        <c:ser>
          <c:idx val="2"/>
          <c:order val="1"/>
          <c:tx>
            <c:strRef>
              <c:f>'105 c'!$D$53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c'!$Q$54:$Q$59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c'!$D$54:$D$59</c:f>
              <c:numCache>
                <c:formatCode>0.00</c:formatCode>
                <c:ptCount val="6"/>
                <c:pt idx="0">
                  <c:v>19.147400000000001</c:v>
                </c:pt>
                <c:pt idx="1">
                  <c:v>23.69550000000001</c:v>
                </c:pt>
                <c:pt idx="2">
                  <c:v>26.735600000000002</c:v>
                </c:pt>
                <c:pt idx="3">
                  <c:v>29.670100000000005</c:v>
                </c:pt>
                <c:pt idx="4">
                  <c:v>32.256299999999982</c:v>
                </c:pt>
                <c:pt idx="5">
                  <c:v>34.811100000000003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939392"/>
        <c:axId val="156941312"/>
      </c:barChart>
      <c:catAx>
        <c:axId val="15693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941312"/>
        <c:crosses val="autoZero"/>
        <c:auto val="1"/>
        <c:lblAlgn val="ctr"/>
        <c:lblOffset val="100"/>
        <c:noMultiLvlLbl val="0"/>
      </c:catAx>
      <c:valAx>
        <c:axId val="15694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Compressive Strength in Mpa</a:t>
                </a:r>
              </a:p>
            </c:rich>
          </c:tx>
          <c:layout>
            <c:manualLayout>
              <c:xMode val="edge"/>
              <c:yMode val="edge"/>
              <c:x val="2.4900962082625919E-2"/>
              <c:y val="0.2119695975503062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15693939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latin typeface="Times New Roman" pitchFamily="18" charset="0"/>
                <a:cs typeface="Times New Roman" pitchFamily="18" charset="0"/>
              </a:rPr>
              <a:t>Flexural Strength of Concrete of Bacterial Concentration 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="0" baseline="30000">
                <a:effectLst/>
                <a:latin typeface="Times New Roman" pitchFamily="18" charset="0"/>
                <a:cs typeface="Times New Roman" pitchFamily="18" charset="0"/>
              </a:rPr>
              <a:t>8</a:t>
            </a:r>
            <a:r>
              <a:rPr lang="en-IN" sz="12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198862642169728"/>
          <c:y val="0.24437700495771367"/>
          <c:w val="0.81745581802274714"/>
          <c:h val="0.54147163896179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c'!$K$53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c'!$Q$54:$Q$59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c'!$K$54:$K$59</c:f>
              <c:numCache>
                <c:formatCode>0.00</c:formatCode>
                <c:ptCount val="6"/>
                <c:pt idx="0">
                  <c:v>1.2906000000000004</c:v>
                </c:pt>
                <c:pt idx="1">
                  <c:v>1.8100000000000009</c:v>
                </c:pt>
                <c:pt idx="2">
                  <c:v>2.2330000000000014</c:v>
                </c:pt>
                <c:pt idx="3">
                  <c:v>2.5292999999999992</c:v>
                </c:pt>
                <c:pt idx="4">
                  <c:v>2.796599999999998</c:v>
                </c:pt>
                <c:pt idx="5">
                  <c:v>3.1201000000000008</c:v>
                </c:pt>
              </c:numCache>
            </c:numRef>
          </c:val>
        </c:ser>
        <c:ser>
          <c:idx val="2"/>
          <c:order val="1"/>
          <c:tx>
            <c:strRef>
              <c:f>'105 c'!$L$53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c'!$Q$54:$Q$59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c'!$L$54:$L$59</c:f>
              <c:numCache>
                <c:formatCode>0.00</c:formatCode>
                <c:ptCount val="6"/>
                <c:pt idx="0">
                  <c:v>1.2784000000000004</c:v>
                </c:pt>
                <c:pt idx="1">
                  <c:v>1.8780000000000006</c:v>
                </c:pt>
                <c:pt idx="2">
                  <c:v>2.3953000000000002</c:v>
                </c:pt>
                <c:pt idx="3">
                  <c:v>2.8872000000000004</c:v>
                </c:pt>
                <c:pt idx="4">
                  <c:v>3.2574000000000001</c:v>
                </c:pt>
                <c:pt idx="5">
                  <c:v>3.6833000000000005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980352"/>
        <c:axId val="156982272"/>
      </c:barChart>
      <c:catAx>
        <c:axId val="15698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982272"/>
        <c:crosses val="autoZero"/>
        <c:auto val="1"/>
        <c:lblAlgn val="ctr"/>
        <c:lblOffset val="100"/>
        <c:noMultiLvlLbl val="0"/>
      </c:catAx>
      <c:valAx>
        <c:axId val="15698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Flexural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698035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latin typeface="Times New Roman" pitchFamily="18" charset="0"/>
                <a:cs typeface="Times New Roman" pitchFamily="18" charset="0"/>
              </a:rPr>
              <a:t>Tensile Strength of Concrete of Bacterial Concentration 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="0" baseline="30000">
                <a:effectLst/>
                <a:latin typeface="Times New Roman" pitchFamily="18" charset="0"/>
                <a:cs typeface="Times New Roman" pitchFamily="18" charset="0"/>
              </a:rPr>
              <a:t>8</a:t>
            </a:r>
            <a:r>
              <a:rPr lang="en-IN" sz="12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>
        <c:manualLayout>
          <c:xMode val="edge"/>
          <c:yMode val="edge"/>
          <c:x val="1.7487648602748204E-2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98862642169728"/>
          <c:y val="0.23048811606882477"/>
          <c:w val="0.81745581802274714"/>
          <c:h val="0.6535320064158646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c'!$R$53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c'!$Q$54:$Q$59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c'!$R$54:$R$59</c:f>
              <c:numCache>
                <c:formatCode>0.00</c:formatCode>
                <c:ptCount val="6"/>
                <c:pt idx="0">
                  <c:v>1.8</c:v>
                </c:pt>
                <c:pt idx="1">
                  <c:v>2.3979999999999997</c:v>
                </c:pt>
                <c:pt idx="2">
                  <c:v>2.7774999999999999</c:v>
                </c:pt>
                <c:pt idx="3">
                  <c:v>3.2374999999999998</c:v>
                </c:pt>
                <c:pt idx="4">
                  <c:v>3.87</c:v>
                </c:pt>
                <c:pt idx="5">
                  <c:v>4.2149999999999999</c:v>
                </c:pt>
              </c:numCache>
            </c:numRef>
          </c:val>
        </c:ser>
        <c:ser>
          <c:idx val="2"/>
          <c:order val="1"/>
          <c:tx>
            <c:strRef>
              <c:f>'105 c'!$S$53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c'!$Q$54:$Q$59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c'!$S$54:$S$59</c:f>
              <c:numCache>
                <c:formatCode>0.00</c:formatCode>
                <c:ptCount val="6"/>
                <c:pt idx="0">
                  <c:v>2.0665500000000003</c:v>
                </c:pt>
                <c:pt idx="1">
                  <c:v>2.2045499999999993</c:v>
                </c:pt>
                <c:pt idx="2">
                  <c:v>2.2378500000000034</c:v>
                </c:pt>
                <c:pt idx="3">
                  <c:v>3.9880999999999984</c:v>
                </c:pt>
                <c:pt idx="4">
                  <c:v>4.319899999999997</c:v>
                </c:pt>
                <c:pt idx="5">
                  <c:v>4.5337999999999923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8082048"/>
        <c:axId val="208083968"/>
      </c:barChart>
      <c:catAx>
        <c:axId val="20808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083968"/>
        <c:crosses val="autoZero"/>
        <c:auto val="1"/>
        <c:lblAlgn val="ctr"/>
        <c:lblOffset val="100"/>
        <c:noMultiLvlLbl val="0"/>
      </c:catAx>
      <c:valAx>
        <c:axId val="208083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0808204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748722199198784"/>
          <c:y val="0.11388888888888889"/>
          <c:w val="0.6818249297785145"/>
          <c:h val="7.72774076317383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latin typeface="Times New Roman" pitchFamily="18" charset="0"/>
                <a:cs typeface="Times New Roman" pitchFamily="18" charset="0"/>
              </a:rPr>
              <a:t>Compressive Strength of Concrete of Bacterial Concentration 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="0" baseline="30000">
                <a:effectLst/>
                <a:latin typeface="Times New Roman" pitchFamily="18" charset="0"/>
                <a:cs typeface="Times New Roman" pitchFamily="18" charset="0"/>
              </a:rPr>
              <a:t>9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  <a:r>
              <a:rPr lang="en-US" sz="1200" b="0">
                <a:latin typeface="Times New Roman" pitchFamily="18" charset="0"/>
                <a:cs typeface="Times New Roman" pitchFamily="18" charset="0"/>
              </a:rPr>
              <a:t> </a:t>
            </a:r>
          </a:p>
        </c:rich>
      </c:tx>
      <c:layout>
        <c:manualLayout>
          <c:xMode val="edge"/>
          <c:yMode val="edge"/>
          <c:x val="2.7395888013998261E-2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29418197725284"/>
          <c:y val="0.22585848643919509"/>
          <c:w val="0.8033724846894138"/>
          <c:h val="0.601656824146981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c'!$C$64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c'!$B$65:$B$70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c'!$C$65:$C$70</c:f>
              <c:numCache>
                <c:formatCode>0.00</c:formatCode>
                <c:ptCount val="6"/>
                <c:pt idx="0">
                  <c:v>16.079999999999995</c:v>
                </c:pt>
                <c:pt idx="1">
                  <c:v>20.399999999999995</c:v>
                </c:pt>
                <c:pt idx="2">
                  <c:v>22.579999999999995</c:v>
                </c:pt>
                <c:pt idx="3">
                  <c:v>24.253499999999992</c:v>
                </c:pt>
                <c:pt idx="4">
                  <c:v>27.079999999999995</c:v>
                </c:pt>
                <c:pt idx="5">
                  <c:v>29.174799999999998</c:v>
                </c:pt>
              </c:numCache>
            </c:numRef>
          </c:val>
        </c:ser>
        <c:ser>
          <c:idx val="2"/>
          <c:order val="1"/>
          <c:tx>
            <c:strRef>
              <c:f>'105 c'!$D$64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c'!$B$65:$B$70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c'!$D$65:$D$70</c:f>
              <c:numCache>
                <c:formatCode>0.00</c:formatCode>
                <c:ptCount val="6"/>
                <c:pt idx="0">
                  <c:v>18.2974</c:v>
                </c:pt>
                <c:pt idx="1">
                  <c:v>22.845500000000008</c:v>
                </c:pt>
                <c:pt idx="2">
                  <c:v>25.8856</c:v>
                </c:pt>
                <c:pt idx="3">
                  <c:v>28.820100000000004</c:v>
                </c:pt>
                <c:pt idx="4">
                  <c:v>31.40629999999998</c:v>
                </c:pt>
                <c:pt idx="5">
                  <c:v>33.961100000000002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8131200"/>
        <c:axId val="208133120"/>
      </c:barChart>
      <c:catAx>
        <c:axId val="20813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133120"/>
        <c:crosses val="autoZero"/>
        <c:auto val="1"/>
        <c:lblAlgn val="ctr"/>
        <c:lblOffset val="100"/>
        <c:noMultiLvlLbl val="0"/>
      </c:catAx>
      <c:valAx>
        <c:axId val="208133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Compressive Strength in Mpa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23511774569845439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20813120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280883639545057"/>
          <c:y val="0.15092592592592594"/>
          <c:w val="0.71049384896018863"/>
          <c:h val="7.802767372525036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latin typeface="Times New Roman" pitchFamily="18" charset="0"/>
                <a:cs typeface="Times New Roman" pitchFamily="18" charset="0"/>
              </a:rPr>
              <a:t>Flexural Strength of Concrete of Bacterial Concentration 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200" b="0" baseline="30000">
                <a:effectLst/>
                <a:latin typeface="Times New Roman" pitchFamily="18" charset="0"/>
                <a:cs typeface="Times New Roman" pitchFamily="18" charset="0"/>
              </a:rPr>
              <a:t>9</a:t>
            </a:r>
            <a:r>
              <a:rPr lang="en-US" sz="1200" b="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2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'105 c'!$K$64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c'!$Q$65:$Q$70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c'!$K$65:$K$70</c:f>
              <c:numCache>
                <c:formatCode>0.00</c:formatCode>
                <c:ptCount val="6"/>
                <c:pt idx="0">
                  <c:v>1.2</c:v>
                </c:pt>
                <c:pt idx="1">
                  <c:v>1.2100000000000009</c:v>
                </c:pt>
                <c:pt idx="2">
                  <c:v>1.6330000000000013</c:v>
                </c:pt>
                <c:pt idx="3">
                  <c:v>1.9292999999999991</c:v>
                </c:pt>
                <c:pt idx="4">
                  <c:v>2.1965999999999979</c:v>
                </c:pt>
                <c:pt idx="5">
                  <c:v>2.5201000000000007</c:v>
                </c:pt>
              </c:numCache>
            </c:numRef>
          </c:val>
        </c:ser>
        <c:ser>
          <c:idx val="2"/>
          <c:order val="1"/>
          <c:tx>
            <c:strRef>
              <c:f>'105 c'!$L$64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c'!$Q$65:$Q$70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c'!$L$65:$L$70</c:f>
              <c:numCache>
                <c:formatCode>0.00</c:formatCode>
                <c:ptCount val="6"/>
                <c:pt idx="0">
                  <c:v>1.3</c:v>
                </c:pt>
                <c:pt idx="1">
                  <c:v>1.1280000000000006</c:v>
                </c:pt>
                <c:pt idx="2">
                  <c:v>1.6453000000000002</c:v>
                </c:pt>
                <c:pt idx="3">
                  <c:v>2.1372000000000004</c:v>
                </c:pt>
                <c:pt idx="4">
                  <c:v>2.5074000000000001</c:v>
                </c:pt>
                <c:pt idx="5">
                  <c:v>2.9333000000000005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8176256"/>
        <c:axId val="208178176"/>
      </c:barChart>
      <c:catAx>
        <c:axId val="20817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178176"/>
        <c:crosses val="autoZero"/>
        <c:auto val="1"/>
        <c:lblAlgn val="ctr"/>
        <c:lblOffset val="100"/>
        <c:noMultiLvlLbl val="0"/>
      </c:catAx>
      <c:valAx>
        <c:axId val="208178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Flexural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0817625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100">
                <a:latin typeface="Times New Roman" pitchFamily="18" charset="0"/>
                <a:cs typeface="Times New Roman" pitchFamily="18" charset="0"/>
              </a:rPr>
              <a:t>Tensile Strength</a:t>
            </a:r>
            <a:r>
              <a:rPr lang="en-IN" sz="1100" baseline="0">
                <a:latin typeface="Times New Roman" pitchFamily="18" charset="0"/>
                <a:cs typeface="Times New Roman" pitchFamily="18" charset="0"/>
              </a:rPr>
              <a:t> of Concrete of Bacterial Concentration </a:t>
            </a:r>
            <a:r>
              <a:rPr lang="en-US" sz="11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100" baseline="30000">
                <a:effectLst/>
                <a:latin typeface="Times New Roman" pitchFamily="18" charset="0"/>
                <a:cs typeface="Times New Roman" pitchFamily="18" charset="0"/>
              </a:rPr>
              <a:t>4</a:t>
            </a:r>
            <a:r>
              <a:rPr lang="en-US" sz="11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1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22442330125400992"/>
          <c:w val="0.85263648293963257"/>
          <c:h val="0.561425342665500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'105 c'!$R$13</c:f>
              <c:strCache>
                <c:ptCount val="1"/>
                <c:pt idx="0">
                  <c:v>Normal Concrete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c'!$Q$14:$Q$19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c'!$R$14:$R$19</c:f>
              <c:numCache>
                <c:formatCode>General</c:formatCode>
                <c:ptCount val="6"/>
                <c:pt idx="0">
                  <c:v>3</c:v>
                </c:pt>
                <c:pt idx="1">
                  <c:v>3.52</c:v>
                </c:pt>
                <c:pt idx="2">
                  <c:v>3.85</c:v>
                </c:pt>
                <c:pt idx="3">
                  <c:v>4.25</c:v>
                </c:pt>
                <c:pt idx="4">
                  <c:v>4.8</c:v>
                </c:pt>
                <c:pt idx="5">
                  <c:v>5.0999999999999996</c:v>
                </c:pt>
              </c:numCache>
            </c:numRef>
          </c:val>
        </c:ser>
        <c:ser>
          <c:idx val="2"/>
          <c:order val="1"/>
          <c:tx>
            <c:strRef>
              <c:f>'105 c'!$S$13</c:f>
              <c:strCache>
                <c:ptCount val="1"/>
                <c:pt idx="0">
                  <c:v>Bacterial Concrere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c'!$Q$14:$Q$19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c'!$S$14:$S$19</c:f>
              <c:numCache>
                <c:formatCode>0.00</c:formatCode>
                <c:ptCount val="6"/>
                <c:pt idx="0">
                  <c:v>3.4365500000000009</c:v>
                </c:pt>
                <c:pt idx="1">
                  <c:v>3.49655</c:v>
                </c:pt>
                <c:pt idx="2">
                  <c:v>3.4803500000000036</c:v>
                </c:pt>
                <c:pt idx="3">
                  <c:v>5.1705999999999985</c:v>
                </c:pt>
                <c:pt idx="4">
                  <c:v>5.4198999999999975</c:v>
                </c:pt>
                <c:pt idx="5">
                  <c:v>5.5887999999999929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458304"/>
        <c:axId val="209460224"/>
      </c:barChart>
      <c:catAx>
        <c:axId val="20945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460224"/>
        <c:crosses val="autoZero"/>
        <c:auto val="1"/>
        <c:lblAlgn val="ctr"/>
        <c:lblOffset val="100"/>
        <c:noMultiLvlLbl val="0"/>
      </c:catAx>
      <c:valAx>
        <c:axId val="209460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Strength in Mpa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45830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280883639545057"/>
          <c:y val="0.14486111111111111"/>
          <c:w val="0.55438232720909886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100" b="0">
                <a:latin typeface="Times New Roman" pitchFamily="18" charset="0"/>
                <a:cs typeface="Times New Roman" pitchFamily="18" charset="0"/>
              </a:rPr>
              <a:t>Tensile Strength of</a:t>
            </a:r>
            <a:r>
              <a:rPr lang="en-IN" sz="1100" b="0" baseline="0">
                <a:latin typeface="Times New Roman" pitchFamily="18" charset="0"/>
                <a:cs typeface="Times New Roman" pitchFamily="18" charset="0"/>
              </a:rPr>
              <a:t> Concrete of Bacterial Concentration </a:t>
            </a:r>
            <a:r>
              <a:rPr lang="en-US" sz="1100" b="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100" b="0" baseline="30000">
                <a:effectLst/>
                <a:latin typeface="Times New Roman" pitchFamily="18" charset="0"/>
                <a:cs typeface="Times New Roman" pitchFamily="18" charset="0"/>
              </a:rPr>
              <a:t>9</a:t>
            </a:r>
            <a:r>
              <a:rPr lang="en-US" sz="1100" b="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100" b="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'105 c'!$R$64</c:f>
              <c:strCache>
                <c:ptCount val="1"/>
                <c:pt idx="0">
                  <c:v> Normal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c'!$Q$65:$Q$70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c'!$R$65:$R$70</c:f>
              <c:numCache>
                <c:formatCode>0.00</c:formatCode>
                <c:ptCount val="6"/>
                <c:pt idx="0">
                  <c:v>1.2000000000000002</c:v>
                </c:pt>
                <c:pt idx="1">
                  <c:v>1.7979999999999996</c:v>
                </c:pt>
                <c:pt idx="2">
                  <c:v>2.1774999999999998</c:v>
                </c:pt>
                <c:pt idx="3">
                  <c:v>2.6374999999999997</c:v>
                </c:pt>
                <c:pt idx="4">
                  <c:v>3.27</c:v>
                </c:pt>
                <c:pt idx="5">
                  <c:v>3.6149999999999998</c:v>
                </c:pt>
              </c:numCache>
            </c:numRef>
          </c:val>
        </c:ser>
        <c:ser>
          <c:idx val="2"/>
          <c:order val="1"/>
          <c:tx>
            <c:strRef>
              <c:f>'105 c'!$S$64</c:f>
              <c:strCache>
                <c:ptCount val="1"/>
                <c:pt idx="0">
                  <c:v>Bacterial Concrete Strength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'105 c'!$Q$65:$Q$70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'105 c'!$S$65:$S$70</c:f>
              <c:numCache>
                <c:formatCode>0.00</c:formatCode>
                <c:ptCount val="6"/>
                <c:pt idx="0">
                  <c:v>1.2665500000000003</c:v>
                </c:pt>
                <c:pt idx="1">
                  <c:v>1.4045499999999993</c:v>
                </c:pt>
                <c:pt idx="2">
                  <c:v>1.4378500000000034</c:v>
                </c:pt>
                <c:pt idx="3">
                  <c:v>3.1880999999999986</c:v>
                </c:pt>
                <c:pt idx="4">
                  <c:v>3.5198999999999971</c:v>
                </c:pt>
                <c:pt idx="5">
                  <c:v>3.7337999999999925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532032"/>
        <c:axId val="209533952"/>
      </c:barChart>
      <c:catAx>
        <c:axId val="20953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533952"/>
        <c:crosses val="autoZero"/>
        <c:auto val="1"/>
        <c:lblAlgn val="ctr"/>
        <c:lblOffset val="100"/>
        <c:noMultiLvlLbl val="0"/>
      </c:catAx>
      <c:valAx>
        <c:axId val="209533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Strength in Mpa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0953203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latin typeface="Times New Roman" pitchFamily="18" charset="0"/>
                <a:cs typeface="Times New Roman" pitchFamily="18" charset="0"/>
              </a:rPr>
              <a:t>Compressive Strength of Concrete of Bacterial Constration </a:t>
            </a:r>
            <a:r>
              <a:rPr lang="en-US" sz="10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000" baseline="30000">
                <a:effectLst/>
                <a:latin typeface="Times New Roman" pitchFamily="18" charset="0"/>
                <a:cs typeface="Times New Roman" pitchFamily="18" charset="0"/>
              </a:rPr>
              <a:t>6</a:t>
            </a:r>
            <a:r>
              <a:rPr lang="en-US" sz="10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0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Sheet2!$B$109</c:f>
              <c:strCache>
                <c:ptCount val="1"/>
                <c:pt idx="0">
                  <c:v>Normal Concrete </c:v>
                </c:pt>
              </c:strCache>
            </c:strRef>
          </c:tx>
          <c:invertIfNegative val="0"/>
          <c:cat>
            <c:numRef>
              <c:f>Sheet2!$A$110:$A$115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Sheet2!$B$110:$B$115</c:f>
              <c:numCache>
                <c:formatCode>0.00</c:formatCode>
                <c:ptCount val="6"/>
                <c:pt idx="0">
                  <c:v>19.344400000000004</c:v>
                </c:pt>
                <c:pt idx="1">
                  <c:v>23.533500000000014</c:v>
                </c:pt>
                <c:pt idx="2">
                  <c:v>25.597100000000001</c:v>
                </c:pt>
                <c:pt idx="3">
                  <c:v>28.160699999999999</c:v>
                </c:pt>
                <c:pt idx="4">
                  <c:v>30.916399999999999</c:v>
                </c:pt>
                <c:pt idx="5">
                  <c:v>32.826699999999995</c:v>
                </c:pt>
              </c:numCache>
            </c:numRef>
          </c:val>
        </c:ser>
        <c:ser>
          <c:idx val="2"/>
          <c:order val="1"/>
          <c:tx>
            <c:strRef>
              <c:f>Sheet2!$C$109</c:f>
              <c:strCache>
                <c:ptCount val="1"/>
                <c:pt idx="0">
                  <c:v>Bacterial Concrerte</c:v>
                </c:pt>
              </c:strCache>
            </c:strRef>
          </c:tx>
          <c:invertIfNegative val="0"/>
          <c:cat>
            <c:numRef>
              <c:f>Sheet2!$A$110:$A$115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Sheet2!$C$110:$C$115</c:f>
              <c:numCache>
                <c:formatCode>0.00</c:formatCode>
                <c:ptCount val="6"/>
                <c:pt idx="0">
                  <c:v>22.035899999999998</c:v>
                </c:pt>
                <c:pt idx="1">
                  <c:v>26.490500000000001</c:v>
                </c:pt>
                <c:pt idx="2">
                  <c:v>29.842600000000008</c:v>
                </c:pt>
                <c:pt idx="3">
                  <c:v>33.041899999999998</c:v>
                </c:pt>
                <c:pt idx="4">
                  <c:v>37.240600000000001</c:v>
                </c:pt>
                <c:pt idx="5">
                  <c:v>40.660800000000002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649344"/>
        <c:axId val="156659712"/>
      </c:barChart>
      <c:catAx>
        <c:axId val="15664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49849696130239934"/>
              <c:y val="0.883310002916302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6659712"/>
        <c:crosses val="autoZero"/>
        <c:auto val="1"/>
        <c:lblAlgn val="ctr"/>
        <c:lblOffset val="100"/>
        <c:noMultiLvlLbl val="0"/>
      </c:catAx>
      <c:valAx>
        <c:axId val="156659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Compressive Strength in Mpa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664934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cat>
            <c:strRef>
              <c:f>Sheet3!$B$4:$N$4</c:f>
              <c:strCache>
                <c:ptCount val="13"/>
                <c:pt idx="0">
                  <c:v>Sample No</c:v>
                </c:pt>
                <c:pt idx="1">
                  <c:v>7 N</c:v>
                </c:pt>
                <c:pt idx="2">
                  <c:v>7 BC</c:v>
                </c:pt>
                <c:pt idx="3">
                  <c:v>14 N</c:v>
                </c:pt>
                <c:pt idx="4">
                  <c:v>14 BC</c:v>
                </c:pt>
                <c:pt idx="5">
                  <c:v>21 N</c:v>
                </c:pt>
                <c:pt idx="6">
                  <c:v>21 BC</c:v>
                </c:pt>
                <c:pt idx="7">
                  <c:v>28 N</c:v>
                </c:pt>
                <c:pt idx="8">
                  <c:v>28 BC</c:v>
                </c:pt>
                <c:pt idx="9">
                  <c:v>56 N</c:v>
                </c:pt>
                <c:pt idx="10">
                  <c:v>56 BC</c:v>
                </c:pt>
                <c:pt idx="11">
                  <c:v>90 N</c:v>
                </c:pt>
                <c:pt idx="12">
                  <c:v>90 BC</c:v>
                </c:pt>
              </c:strCache>
            </c:strRef>
          </c:cat>
          <c:val>
            <c:numRef>
              <c:f>Sheet3!$B$5:$N$5</c:f>
              <c:numCache>
                <c:formatCode>General</c:formatCode>
                <c:ptCount val="13"/>
                <c:pt idx="0">
                  <c:v>1</c:v>
                </c:pt>
                <c:pt idx="1">
                  <c:v>20.25</c:v>
                </c:pt>
                <c:pt idx="2">
                  <c:v>23.14</c:v>
                </c:pt>
                <c:pt idx="3">
                  <c:v>21.38</c:v>
                </c:pt>
                <c:pt idx="4">
                  <c:v>25.72</c:v>
                </c:pt>
                <c:pt idx="5">
                  <c:v>26.04</c:v>
                </c:pt>
                <c:pt idx="6">
                  <c:v>30.91</c:v>
                </c:pt>
                <c:pt idx="7">
                  <c:v>26.76</c:v>
                </c:pt>
                <c:pt idx="8">
                  <c:v>33.549999999999997</c:v>
                </c:pt>
                <c:pt idx="9">
                  <c:v>28.61</c:v>
                </c:pt>
                <c:pt idx="10">
                  <c:v>39.1</c:v>
                </c:pt>
                <c:pt idx="11">
                  <c:v>34.39</c:v>
                </c:pt>
                <c:pt idx="12">
                  <c:v>42</c:v>
                </c:pt>
              </c:numCache>
            </c:numRef>
          </c:val>
          <c:smooth val="0"/>
        </c:ser>
        <c:ser>
          <c:idx val="1"/>
          <c:order val="1"/>
          <c:cat>
            <c:strRef>
              <c:f>Sheet3!$B$4:$N$4</c:f>
              <c:strCache>
                <c:ptCount val="13"/>
                <c:pt idx="0">
                  <c:v>Sample No</c:v>
                </c:pt>
                <c:pt idx="1">
                  <c:v>7 N</c:v>
                </c:pt>
                <c:pt idx="2">
                  <c:v>7 BC</c:v>
                </c:pt>
                <c:pt idx="3">
                  <c:v>14 N</c:v>
                </c:pt>
                <c:pt idx="4">
                  <c:v>14 BC</c:v>
                </c:pt>
                <c:pt idx="5">
                  <c:v>21 N</c:v>
                </c:pt>
                <c:pt idx="6">
                  <c:v>21 BC</c:v>
                </c:pt>
                <c:pt idx="7">
                  <c:v>28 N</c:v>
                </c:pt>
                <c:pt idx="8">
                  <c:v>28 BC</c:v>
                </c:pt>
                <c:pt idx="9">
                  <c:v>56 N</c:v>
                </c:pt>
                <c:pt idx="10">
                  <c:v>56 BC</c:v>
                </c:pt>
                <c:pt idx="11">
                  <c:v>90 N</c:v>
                </c:pt>
                <c:pt idx="12">
                  <c:v>90 BC</c:v>
                </c:pt>
              </c:strCache>
            </c:strRef>
          </c:cat>
          <c:val>
            <c:numRef>
              <c:f>Sheet3!$B$6:$N$6</c:f>
              <c:numCache>
                <c:formatCode>General</c:formatCode>
                <c:ptCount val="13"/>
                <c:pt idx="0">
                  <c:v>2</c:v>
                </c:pt>
                <c:pt idx="1">
                  <c:v>19.29</c:v>
                </c:pt>
                <c:pt idx="2">
                  <c:v>20.62</c:v>
                </c:pt>
                <c:pt idx="3">
                  <c:v>22.87</c:v>
                </c:pt>
                <c:pt idx="4">
                  <c:v>28.07</c:v>
                </c:pt>
                <c:pt idx="5">
                  <c:v>26.34</c:v>
                </c:pt>
                <c:pt idx="6">
                  <c:v>28.73</c:v>
                </c:pt>
                <c:pt idx="7">
                  <c:v>27.16</c:v>
                </c:pt>
                <c:pt idx="8">
                  <c:v>32.409999999999997</c:v>
                </c:pt>
                <c:pt idx="9">
                  <c:v>30.1</c:v>
                </c:pt>
                <c:pt idx="10">
                  <c:v>38.39</c:v>
                </c:pt>
                <c:pt idx="11">
                  <c:v>35.86</c:v>
                </c:pt>
                <c:pt idx="12">
                  <c:v>36.159999999999997</c:v>
                </c:pt>
              </c:numCache>
            </c:numRef>
          </c:val>
          <c:smooth val="0"/>
        </c:ser>
        <c:ser>
          <c:idx val="2"/>
          <c:order val="2"/>
          <c:cat>
            <c:strRef>
              <c:f>Sheet3!$B$4:$N$4</c:f>
              <c:strCache>
                <c:ptCount val="13"/>
                <c:pt idx="0">
                  <c:v>Sample No</c:v>
                </c:pt>
                <c:pt idx="1">
                  <c:v>7 N</c:v>
                </c:pt>
                <c:pt idx="2">
                  <c:v>7 BC</c:v>
                </c:pt>
                <c:pt idx="3">
                  <c:v>14 N</c:v>
                </c:pt>
                <c:pt idx="4">
                  <c:v>14 BC</c:v>
                </c:pt>
                <c:pt idx="5">
                  <c:v>21 N</c:v>
                </c:pt>
                <c:pt idx="6">
                  <c:v>21 BC</c:v>
                </c:pt>
                <c:pt idx="7">
                  <c:v>28 N</c:v>
                </c:pt>
                <c:pt idx="8">
                  <c:v>28 BC</c:v>
                </c:pt>
                <c:pt idx="9">
                  <c:v>56 N</c:v>
                </c:pt>
                <c:pt idx="10">
                  <c:v>56 BC</c:v>
                </c:pt>
                <c:pt idx="11">
                  <c:v>90 N</c:v>
                </c:pt>
                <c:pt idx="12">
                  <c:v>90 BC</c:v>
                </c:pt>
              </c:strCache>
            </c:strRef>
          </c:cat>
          <c:val>
            <c:numRef>
              <c:f>Sheet3!$B$7:$N$7</c:f>
              <c:numCache>
                <c:formatCode>General</c:formatCode>
                <c:ptCount val="13"/>
                <c:pt idx="0">
                  <c:v>3</c:v>
                </c:pt>
                <c:pt idx="1">
                  <c:v>20.47</c:v>
                </c:pt>
                <c:pt idx="2">
                  <c:v>23.3</c:v>
                </c:pt>
                <c:pt idx="3">
                  <c:v>22.99</c:v>
                </c:pt>
                <c:pt idx="4">
                  <c:v>25.44</c:v>
                </c:pt>
                <c:pt idx="5">
                  <c:v>27.12</c:v>
                </c:pt>
                <c:pt idx="6">
                  <c:v>29.64</c:v>
                </c:pt>
                <c:pt idx="7">
                  <c:v>29.12</c:v>
                </c:pt>
                <c:pt idx="8">
                  <c:v>33.04</c:v>
                </c:pt>
                <c:pt idx="9">
                  <c:v>31.01</c:v>
                </c:pt>
                <c:pt idx="10">
                  <c:v>37.090000000000003</c:v>
                </c:pt>
                <c:pt idx="11">
                  <c:v>30.9</c:v>
                </c:pt>
                <c:pt idx="12">
                  <c:v>43.63</c:v>
                </c:pt>
              </c:numCache>
            </c:numRef>
          </c:val>
          <c:smooth val="0"/>
        </c:ser>
        <c:ser>
          <c:idx val="3"/>
          <c:order val="3"/>
          <c:cat>
            <c:strRef>
              <c:f>Sheet3!$B$4:$N$4</c:f>
              <c:strCache>
                <c:ptCount val="13"/>
                <c:pt idx="0">
                  <c:v>Sample No</c:v>
                </c:pt>
                <c:pt idx="1">
                  <c:v>7 N</c:v>
                </c:pt>
                <c:pt idx="2">
                  <c:v>7 BC</c:v>
                </c:pt>
                <c:pt idx="3">
                  <c:v>14 N</c:v>
                </c:pt>
                <c:pt idx="4">
                  <c:v>14 BC</c:v>
                </c:pt>
                <c:pt idx="5">
                  <c:v>21 N</c:v>
                </c:pt>
                <c:pt idx="6">
                  <c:v>21 BC</c:v>
                </c:pt>
                <c:pt idx="7">
                  <c:v>28 N</c:v>
                </c:pt>
                <c:pt idx="8">
                  <c:v>28 BC</c:v>
                </c:pt>
                <c:pt idx="9">
                  <c:v>56 N</c:v>
                </c:pt>
                <c:pt idx="10">
                  <c:v>56 BC</c:v>
                </c:pt>
                <c:pt idx="11">
                  <c:v>90 N</c:v>
                </c:pt>
                <c:pt idx="12">
                  <c:v>90 BC</c:v>
                </c:pt>
              </c:strCache>
            </c:strRef>
          </c:cat>
          <c:val>
            <c:numRef>
              <c:f>Sheet3!$B$8:$N$8</c:f>
              <c:numCache>
                <c:formatCode>General</c:formatCode>
                <c:ptCount val="13"/>
                <c:pt idx="0">
                  <c:v>4</c:v>
                </c:pt>
                <c:pt idx="1">
                  <c:v>21.78</c:v>
                </c:pt>
                <c:pt idx="2">
                  <c:v>24.03</c:v>
                </c:pt>
                <c:pt idx="3">
                  <c:v>22.3</c:v>
                </c:pt>
                <c:pt idx="4">
                  <c:v>24.39</c:v>
                </c:pt>
                <c:pt idx="5">
                  <c:v>27.08</c:v>
                </c:pt>
                <c:pt idx="6">
                  <c:v>28.81</c:v>
                </c:pt>
                <c:pt idx="7">
                  <c:v>28.92</c:v>
                </c:pt>
                <c:pt idx="8">
                  <c:v>34.92</c:v>
                </c:pt>
                <c:pt idx="9">
                  <c:v>31.07</c:v>
                </c:pt>
                <c:pt idx="10">
                  <c:v>36.03</c:v>
                </c:pt>
                <c:pt idx="11">
                  <c:v>33.840000000000003</c:v>
                </c:pt>
                <c:pt idx="12">
                  <c:v>40.29</c:v>
                </c:pt>
              </c:numCache>
            </c:numRef>
          </c:val>
          <c:smooth val="0"/>
        </c:ser>
        <c:ser>
          <c:idx val="4"/>
          <c:order val="4"/>
          <c:cat>
            <c:strRef>
              <c:f>Sheet3!$B$4:$N$4</c:f>
              <c:strCache>
                <c:ptCount val="13"/>
                <c:pt idx="0">
                  <c:v>Sample No</c:v>
                </c:pt>
                <c:pt idx="1">
                  <c:v>7 N</c:v>
                </c:pt>
                <c:pt idx="2">
                  <c:v>7 BC</c:v>
                </c:pt>
                <c:pt idx="3">
                  <c:v>14 N</c:v>
                </c:pt>
                <c:pt idx="4">
                  <c:v>14 BC</c:v>
                </c:pt>
                <c:pt idx="5">
                  <c:v>21 N</c:v>
                </c:pt>
                <c:pt idx="6">
                  <c:v>21 BC</c:v>
                </c:pt>
                <c:pt idx="7">
                  <c:v>28 N</c:v>
                </c:pt>
                <c:pt idx="8">
                  <c:v>28 BC</c:v>
                </c:pt>
                <c:pt idx="9">
                  <c:v>56 N</c:v>
                </c:pt>
                <c:pt idx="10">
                  <c:v>56 BC</c:v>
                </c:pt>
                <c:pt idx="11">
                  <c:v>90 N</c:v>
                </c:pt>
                <c:pt idx="12">
                  <c:v>90 BC</c:v>
                </c:pt>
              </c:strCache>
            </c:strRef>
          </c:cat>
          <c:val>
            <c:numRef>
              <c:f>Sheet3!$B$9:$N$9</c:f>
              <c:numCache>
                <c:formatCode>General</c:formatCode>
                <c:ptCount val="13"/>
                <c:pt idx="0">
                  <c:v>5</c:v>
                </c:pt>
                <c:pt idx="1">
                  <c:v>19.149999999999999</c:v>
                </c:pt>
                <c:pt idx="2">
                  <c:v>22.62</c:v>
                </c:pt>
                <c:pt idx="3">
                  <c:v>23.26</c:v>
                </c:pt>
                <c:pt idx="4">
                  <c:v>24.17</c:v>
                </c:pt>
                <c:pt idx="5">
                  <c:v>23.43</c:v>
                </c:pt>
                <c:pt idx="6">
                  <c:v>28.85</c:v>
                </c:pt>
                <c:pt idx="7">
                  <c:v>27.97</c:v>
                </c:pt>
                <c:pt idx="8">
                  <c:v>33.29</c:v>
                </c:pt>
                <c:pt idx="9">
                  <c:v>30.32</c:v>
                </c:pt>
                <c:pt idx="10">
                  <c:v>38.049999999999997</c:v>
                </c:pt>
                <c:pt idx="11">
                  <c:v>32.020000000000003</c:v>
                </c:pt>
                <c:pt idx="12">
                  <c:v>42.16</c:v>
                </c:pt>
              </c:numCache>
            </c:numRef>
          </c:val>
          <c:smooth val="0"/>
        </c:ser>
        <c:ser>
          <c:idx val="5"/>
          <c:order val="5"/>
          <c:cat>
            <c:strRef>
              <c:f>Sheet3!$B$4:$N$4</c:f>
              <c:strCache>
                <c:ptCount val="13"/>
                <c:pt idx="0">
                  <c:v>Sample No</c:v>
                </c:pt>
                <c:pt idx="1">
                  <c:v>7 N</c:v>
                </c:pt>
                <c:pt idx="2">
                  <c:v>7 BC</c:v>
                </c:pt>
                <c:pt idx="3">
                  <c:v>14 N</c:v>
                </c:pt>
                <c:pt idx="4">
                  <c:v>14 BC</c:v>
                </c:pt>
                <c:pt idx="5">
                  <c:v>21 N</c:v>
                </c:pt>
                <c:pt idx="6">
                  <c:v>21 BC</c:v>
                </c:pt>
                <c:pt idx="7">
                  <c:v>28 N</c:v>
                </c:pt>
                <c:pt idx="8">
                  <c:v>28 BC</c:v>
                </c:pt>
                <c:pt idx="9">
                  <c:v>56 N</c:v>
                </c:pt>
                <c:pt idx="10">
                  <c:v>56 BC</c:v>
                </c:pt>
                <c:pt idx="11">
                  <c:v>90 N</c:v>
                </c:pt>
                <c:pt idx="12">
                  <c:v>90 BC</c:v>
                </c:pt>
              </c:strCache>
            </c:strRef>
          </c:cat>
          <c:val>
            <c:numRef>
              <c:f>Sheet3!$B$10:$N$10</c:f>
              <c:numCache>
                <c:formatCode>General</c:formatCode>
                <c:ptCount val="13"/>
                <c:pt idx="0">
                  <c:v>6</c:v>
                </c:pt>
                <c:pt idx="1">
                  <c:v>19.149999999999999</c:v>
                </c:pt>
                <c:pt idx="2">
                  <c:v>24.82</c:v>
                </c:pt>
                <c:pt idx="3">
                  <c:v>24.11</c:v>
                </c:pt>
                <c:pt idx="4">
                  <c:v>27.41</c:v>
                </c:pt>
                <c:pt idx="5">
                  <c:v>24.09</c:v>
                </c:pt>
                <c:pt idx="6">
                  <c:v>29.04</c:v>
                </c:pt>
                <c:pt idx="7">
                  <c:v>28.18</c:v>
                </c:pt>
                <c:pt idx="8">
                  <c:v>33.07</c:v>
                </c:pt>
                <c:pt idx="9">
                  <c:v>31.93</c:v>
                </c:pt>
                <c:pt idx="10">
                  <c:v>37.590000000000003</c:v>
                </c:pt>
                <c:pt idx="11">
                  <c:v>32.270000000000003</c:v>
                </c:pt>
                <c:pt idx="12">
                  <c:v>38.94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75168"/>
        <c:axId val="156776704"/>
      </c:lineChart>
      <c:catAx>
        <c:axId val="15677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56776704"/>
        <c:crosses val="autoZero"/>
        <c:auto val="1"/>
        <c:lblAlgn val="ctr"/>
        <c:lblOffset val="100"/>
        <c:noMultiLvlLbl val="0"/>
      </c:catAx>
      <c:valAx>
        <c:axId val="15677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7751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200" b="0">
                <a:latin typeface="Times New Roman" pitchFamily="18" charset="0"/>
                <a:cs typeface="Times New Roman" pitchFamily="18" charset="0"/>
              </a:rPr>
              <a:t>RCPT Performance in Various Bacterial Concentrations</a:t>
            </a:r>
          </a:p>
        </c:rich>
      </c:tx>
      <c:layout>
        <c:manualLayout>
          <c:xMode val="edge"/>
          <c:yMode val="edge"/>
          <c:x val="0.10295740429706561"/>
          <c:y val="2.77778760800967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905796150481191"/>
          <c:y val="0.15603018372703412"/>
          <c:w val="0.6623729221347332"/>
          <c:h val="0.5960495042286381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RCPT!$C$4</c:f>
              <c:strCache>
                <c:ptCount val="1"/>
                <c:pt idx="0">
                  <c:v>Bacterial Dose (cells/ml)</c:v>
                </c:pt>
              </c:strCache>
            </c:strRef>
          </c:tx>
          <c:invertIfNegative val="0"/>
          <c:dLbls>
            <c:delete val="1"/>
          </c:dLbls>
          <c:cat>
            <c:strRef>
              <c:f>RCPT!$C$5:$C$12</c:f>
              <c:strCache>
                <c:ptCount val="8"/>
                <c:pt idx="0">
                  <c:v>Control (0)</c:v>
                </c:pt>
                <c:pt idx="1">
                  <c:v>10³</c:v>
                </c:pt>
                <c:pt idx="2">
                  <c:v>10⁴</c:v>
                </c:pt>
                <c:pt idx="3">
                  <c:v>10⁵</c:v>
                </c:pt>
                <c:pt idx="4">
                  <c:v>10⁶</c:v>
                </c:pt>
                <c:pt idx="5">
                  <c:v>10⁷</c:v>
                </c:pt>
                <c:pt idx="6">
                  <c:v>10⁸</c:v>
                </c:pt>
                <c:pt idx="7">
                  <c:v>10⁹</c:v>
                </c:pt>
              </c:strCache>
            </c:strRef>
          </c:cat>
          <c:val>
            <c:numRef>
              <c:f>RCPT!$C$5:$C$12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1"/>
          <c:tx>
            <c:strRef>
              <c:f>RCPT!$D$4</c:f>
              <c:strCache>
                <c:ptCount val="1"/>
                <c:pt idx="0">
                  <c:v>RCPT (Coulombs)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>
                    <a:solidFill>
                      <a:srgbClr val="00B0F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RCPT!$C$5:$C$12</c:f>
              <c:strCache>
                <c:ptCount val="8"/>
                <c:pt idx="0">
                  <c:v>Control (0)</c:v>
                </c:pt>
                <c:pt idx="1">
                  <c:v>10³</c:v>
                </c:pt>
                <c:pt idx="2">
                  <c:v>10⁴</c:v>
                </c:pt>
                <c:pt idx="3">
                  <c:v>10⁵</c:v>
                </c:pt>
                <c:pt idx="4">
                  <c:v>10⁶</c:v>
                </c:pt>
                <c:pt idx="5">
                  <c:v>10⁷</c:v>
                </c:pt>
                <c:pt idx="6">
                  <c:v>10⁸</c:v>
                </c:pt>
                <c:pt idx="7">
                  <c:v>10⁹</c:v>
                </c:pt>
              </c:strCache>
            </c:strRef>
          </c:cat>
          <c:val>
            <c:numRef>
              <c:f>RCPT!$D$5:$D$12</c:f>
              <c:numCache>
                <c:formatCode>General</c:formatCode>
                <c:ptCount val="8"/>
                <c:pt idx="0">
                  <c:v>3100</c:v>
                </c:pt>
                <c:pt idx="1">
                  <c:v>2850</c:v>
                </c:pt>
                <c:pt idx="2">
                  <c:v>2500</c:v>
                </c:pt>
                <c:pt idx="3">
                  <c:v>1900</c:v>
                </c:pt>
                <c:pt idx="4">
                  <c:v>2100</c:v>
                </c:pt>
                <c:pt idx="5">
                  <c:v>2600</c:v>
                </c:pt>
                <c:pt idx="6">
                  <c:v>2810</c:v>
                </c:pt>
                <c:pt idx="7">
                  <c:v>3050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286656"/>
        <c:axId val="209290752"/>
      </c:barChart>
      <c:catAx>
        <c:axId val="20928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Various</a:t>
                </a:r>
                <a:r>
                  <a:rPr lang="en-US" baseline="0"/>
                  <a:t> </a:t>
                </a:r>
                <a:r>
                  <a:rPr lang="en-US"/>
                  <a:t>Bacterial Concentration </a:t>
                </a:r>
              </a:p>
            </c:rich>
          </c:tx>
          <c:overlay val="0"/>
        </c:title>
        <c:majorTickMark val="out"/>
        <c:minorTickMark val="none"/>
        <c:tickLblPos val="nextTo"/>
        <c:crossAx val="209290752"/>
        <c:crosses val="autoZero"/>
        <c:auto val="1"/>
        <c:lblAlgn val="ctr"/>
        <c:lblOffset val="100"/>
        <c:noMultiLvlLbl val="0"/>
      </c:catAx>
      <c:valAx>
        <c:axId val="209290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RCPT Values</a:t>
                </a:r>
                <a:r>
                  <a:rPr lang="en-US" baseline="0"/>
                  <a:t> in </a:t>
                </a:r>
                <a:r>
                  <a:rPr lang="en-US"/>
                  <a:t>Coulombs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86656"/>
        <c:crosses val="autoZero"/>
        <c:crossBetween val="between"/>
      </c:valAx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3691572799975345"/>
          <c:y val="0.12284644194756554"/>
          <c:w val="0.25264896682435245"/>
          <c:h val="9.030168981686277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Water Absorption (%)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9981700204141148"/>
          <c:w val="0.85263648293963257"/>
          <c:h val="0.586031641878098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'Water Absorption'!$D$5</c:f>
              <c:strCache>
                <c:ptCount val="1"/>
                <c:pt idx="0">
                  <c:v>Water Absorption (%)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'Water Absorption'!$C$6:$C$12</c:f>
              <c:strCache>
                <c:ptCount val="7"/>
                <c:pt idx="0">
                  <c:v>10³</c:v>
                </c:pt>
                <c:pt idx="1">
                  <c:v>10⁴</c:v>
                </c:pt>
                <c:pt idx="2">
                  <c:v>10⁵</c:v>
                </c:pt>
                <c:pt idx="3">
                  <c:v>10⁶</c:v>
                </c:pt>
                <c:pt idx="4">
                  <c:v>10⁷</c:v>
                </c:pt>
                <c:pt idx="5">
                  <c:v>10⁸</c:v>
                </c:pt>
                <c:pt idx="6">
                  <c:v>10⁹</c:v>
                </c:pt>
              </c:strCache>
            </c:strRef>
          </c:cat>
          <c:val>
            <c:numRef>
              <c:f>'Water Absorption'!$D$6:$D$12</c:f>
              <c:numCache>
                <c:formatCode>General</c:formatCode>
                <c:ptCount val="7"/>
                <c:pt idx="0">
                  <c:v>5.8</c:v>
                </c:pt>
                <c:pt idx="1">
                  <c:v>5.5</c:v>
                </c:pt>
                <c:pt idx="2">
                  <c:v>4.3</c:v>
                </c:pt>
                <c:pt idx="3">
                  <c:v>4.5999999999999996</c:v>
                </c:pt>
                <c:pt idx="4">
                  <c:v>5</c:v>
                </c:pt>
                <c:pt idx="5">
                  <c:v>4.4000000000000004</c:v>
                </c:pt>
                <c:pt idx="6">
                  <c:v>4.9000000000000004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848192"/>
        <c:axId val="209872000"/>
      </c:barChart>
      <c:catAx>
        <c:axId val="20984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Bacterial Concentration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09872000"/>
        <c:crosses val="autoZero"/>
        <c:auto val="1"/>
        <c:lblAlgn val="ctr"/>
        <c:lblOffset val="100"/>
        <c:noMultiLvlLbl val="0"/>
      </c:catAx>
      <c:valAx>
        <c:axId val="209872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Water Absorption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8150335374744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84819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3441688538932635"/>
          <c:y val="0.11562518226888306"/>
          <c:w val="0.33116622922134731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476249</xdr:colOff>
      <xdr:row>107</xdr:row>
      <xdr:rowOff>66675</xdr:rowOff>
    </xdr:from>
    <xdr:to>
      <xdr:col>13</xdr:col>
      <xdr:colOff>581024</xdr:colOff>
      <xdr:row>120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133350</xdr:colOff>
      <xdr:row>14</xdr:row>
      <xdr:rowOff>123825</xdr:rowOff>
    </xdr:from>
    <xdr:to>
      <xdr:col>23</xdr:col>
      <xdr:colOff>438150</xdr:colOff>
      <xdr:row>26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11</xdr:row>
      <xdr:rowOff>171450</xdr:rowOff>
    </xdr:from>
    <xdr:to>
      <xdr:col>19</xdr:col>
      <xdr:colOff>428625</xdr:colOff>
      <xdr:row>23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209549</xdr:colOff>
      <xdr:row>12</xdr:row>
      <xdr:rowOff>95250</xdr:rowOff>
    </xdr:from>
    <xdr:to>
      <xdr:col>30</xdr:col>
      <xdr:colOff>447675</xdr:colOff>
      <xdr:row>23</xdr:row>
      <xdr:rowOff>304800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323849</xdr:colOff>
      <xdr:row>11</xdr:row>
      <xdr:rowOff>85725</xdr:rowOff>
    </xdr:from>
    <xdr:to>
      <xdr:col>34</xdr:col>
      <xdr:colOff>276224</xdr:colOff>
      <xdr:row>23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409574</xdr:colOff>
      <xdr:row>11</xdr:row>
      <xdr:rowOff>76200</xdr:rowOff>
    </xdr:from>
    <xdr:to>
      <xdr:col>43</xdr:col>
      <xdr:colOff>57149</xdr:colOff>
      <xdr:row>23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380999</xdr:colOff>
      <xdr:row>23</xdr:row>
      <xdr:rowOff>228600</xdr:rowOff>
    </xdr:from>
    <xdr:to>
      <xdr:col>31</xdr:col>
      <xdr:colOff>219075</xdr:colOff>
      <xdr:row>34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361949</xdr:colOff>
      <xdr:row>23</xdr:row>
      <xdr:rowOff>304800</xdr:rowOff>
    </xdr:from>
    <xdr:to>
      <xdr:col>35</xdr:col>
      <xdr:colOff>533400</xdr:colOff>
      <xdr:row>34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66673</xdr:colOff>
      <xdr:row>23</xdr:row>
      <xdr:rowOff>228600</xdr:rowOff>
    </xdr:from>
    <xdr:to>
      <xdr:col>45</xdr:col>
      <xdr:colOff>85725</xdr:colOff>
      <xdr:row>34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171449</xdr:colOff>
      <xdr:row>35</xdr:row>
      <xdr:rowOff>152400</xdr:rowOff>
    </xdr:from>
    <xdr:to>
      <xdr:col>31</xdr:col>
      <xdr:colOff>19050</xdr:colOff>
      <xdr:row>48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523875</xdr:colOff>
      <xdr:row>36</xdr:row>
      <xdr:rowOff>104775</xdr:rowOff>
    </xdr:from>
    <xdr:to>
      <xdr:col>35</xdr:col>
      <xdr:colOff>457200</xdr:colOff>
      <xdr:row>49</xdr:row>
      <xdr:rowOff>104775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38100</xdr:colOff>
      <xdr:row>36</xdr:row>
      <xdr:rowOff>123825</xdr:rowOff>
    </xdr:from>
    <xdr:to>
      <xdr:col>44</xdr:col>
      <xdr:colOff>590550</xdr:colOff>
      <xdr:row>49</xdr:row>
      <xdr:rowOff>123825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209549</xdr:colOff>
      <xdr:row>50</xdr:row>
      <xdr:rowOff>38100</xdr:rowOff>
    </xdr:from>
    <xdr:to>
      <xdr:col>30</xdr:col>
      <xdr:colOff>542925</xdr:colOff>
      <xdr:row>63</xdr:row>
      <xdr:rowOff>38100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57150</xdr:colOff>
      <xdr:row>50</xdr:row>
      <xdr:rowOff>171450</xdr:rowOff>
    </xdr:from>
    <xdr:to>
      <xdr:col>35</xdr:col>
      <xdr:colOff>495300</xdr:colOff>
      <xdr:row>63</xdr:row>
      <xdr:rowOff>171450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476250</xdr:colOff>
      <xdr:row>6</xdr:row>
      <xdr:rowOff>152400</xdr:rowOff>
    </xdr:from>
    <xdr:to>
      <xdr:col>15</xdr:col>
      <xdr:colOff>171450</xdr:colOff>
      <xdr:row>18</xdr:row>
      <xdr:rowOff>180975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161925</xdr:colOff>
      <xdr:row>63</xdr:row>
      <xdr:rowOff>400050</xdr:rowOff>
    </xdr:from>
    <xdr:to>
      <xdr:col>28</xdr:col>
      <xdr:colOff>466725</xdr:colOff>
      <xdr:row>77</xdr:row>
      <xdr:rowOff>9525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476249</xdr:colOff>
      <xdr:row>107</xdr:row>
      <xdr:rowOff>66675</xdr:rowOff>
    </xdr:from>
    <xdr:to>
      <xdr:col>13</xdr:col>
      <xdr:colOff>581024</xdr:colOff>
      <xdr:row>120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10</xdr:row>
      <xdr:rowOff>95250</xdr:rowOff>
    </xdr:from>
    <xdr:to>
      <xdr:col>15</xdr:col>
      <xdr:colOff>447675</xdr:colOff>
      <xdr:row>24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3</xdr:row>
      <xdr:rowOff>561975</xdr:rowOff>
    </xdr:from>
    <xdr:to>
      <xdr:col>14</xdr:col>
      <xdr:colOff>457199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4</xdr:row>
      <xdr:rowOff>361950</xdr:rowOff>
    </xdr:from>
    <xdr:to>
      <xdr:col>14</xdr:col>
      <xdr:colOff>161925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topLeftCell="A491" workbookViewId="0">
      <selection activeCell="I506" sqref="I506"/>
    </sheetView>
  </sheetViews>
  <sheetFormatPr defaultRowHeight="15" x14ac:dyDescent="0.25"/>
  <cols>
    <col min="1" max="1" width="17.42578125" bestFit="1" customWidth="1"/>
    <col min="2" max="2" width="16.7109375" bestFit="1" customWidth="1"/>
    <col min="3" max="3" width="17.7109375" bestFit="1" customWidth="1"/>
    <col min="4" max="4" width="14.7109375" bestFit="1" customWidth="1"/>
    <col min="5" max="5" width="31.7109375" bestFit="1" customWidth="1"/>
    <col min="6" max="6" width="26.85546875" bestFit="1" customWidth="1"/>
    <col min="7" max="7" width="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/>
      <c r="B2" s="2"/>
      <c r="C2" s="2"/>
      <c r="D2" s="2"/>
      <c r="E2" s="2"/>
      <c r="F2" s="2" t="s">
        <v>9</v>
      </c>
      <c r="G2" t="s">
        <v>10</v>
      </c>
    </row>
    <row r="3" spans="1:7" x14ac:dyDescent="0.25">
      <c r="A3" t="s">
        <v>6</v>
      </c>
      <c r="B3">
        <v>7</v>
      </c>
      <c r="C3" t="s">
        <v>7</v>
      </c>
      <c r="D3" t="s">
        <v>8</v>
      </c>
      <c r="E3">
        <v>1000000</v>
      </c>
      <c r="F3">
        <v>20.25</v>
      </c>
      <c r="G3">
        <v>23.14</v>
      </c>
    </row>
    <row r="4" spans="1:7" x14ac:dyDescent="0.25">
      <c r="A4" t="s">
        <v>6</v>
      </c>
      <c r="B4">
        <v>7</v>
      </c>
      <c r="C4" t="s">
        <v>7</v>
      </c>
      <c r="D4" t="s">
        <v>8</v>
      </c>
      <c r="E4">
        <v>1000000</v>
      </c>
      <c r="F4">
        <v>19.29</v>
      </c>
      <c r="G4">
        <v>20.62</v>
      </c>
    </row>
    <row r="5" spans="1:7" x14ac:dyDescent="0.25">
      <c r="A5" t="s">
        <v>6</v>
      </c>
      <c r="B5">
        <v>7</v>
      </c>
      <c r="C5" t="s">
        <v>7</v>
      </c>
      <c r="D5" t="s">
        <v>8</v>
      </c>
      <c r="E5">
        <v>1000000</v>
      </c>
      <c r="F5">
        <v>20.47</v>
      </c>
      <c r="G5">
        <v>23.3</v>
      </c>
    </row>
    <row r="6" spans="1:7" x14ac:dyDescent="0.25">
      <c r="A6" t="s">
        <v>6</v>
      </c>
      <c r="B6">
        <v>7</v>
      </c>
      <c r="C6" t="s">
        <v>7</v>
      </c>
      <c r="D6" t="s">
        <v>8</v>
      </c>
      <c r="E6">
        <v>1000000</v>
      </c>
      <c r="F6">
        <v>21.78</v>
      </c>
      <c r="G6">
        <v>24.03</v>
      </c>
    </row>
    <row r="7" spans="1:7" x14ac:dyDescent="0.25">
      <c r="A7" t="s">
        <v>6</v>
      </c>
      <c r="B7">
        <v>7</v>
      </c>
      <c r="C7" t="s">
        <v>7</v>
      </c>
      <c r="D7" t="s">
        <v>8</v>
      </c>
      <c r="E7">
        <v>1000000</v>
      </c>
      <c r="F7">
        <v>19.149999999999999</v>
      </c>
      <c r="G7">
        <v>22.62</v>
      </c>
    </row>
    <row r="8" spans="1:7" x14ac:dyDescent="0.25">
      <c r="A8" t="s">
        <v>6</v>
      </c>
      <c r="B8">
        <v>7</v>
      </c>
      <c r="C8" t="s">
        <v>7</v>
      </c>
      <c r="D8" t="s">
        <v>8</v>
      </c>
      <c r="E8">
        <v>1000000</v>
      </c>
      <c r="F8">
        <v>19.149999999999999</v>
      </c>
      <c r="G8">
        <v>24.82</v>
      </c>
    </row>
    <row r="9" spans="1:7" x14ac:dyDescent="0.25">
      <c r="A9" t="s">
        <v>6</v>
      </c>
      <c r="B9">
        <v>7</v>
      </c>
      <c r="C9" t="s">
        <v>7</v>
      </c>
      <c r="D9" t="s">
        <v>8</v>
      </c>
      <c r="E9">
        <v>1000000</v>
      </c>
      <c r="F9">
        <v>21.87</v>
      </c>
      <c r="G9">
        <v>20.84</v>
      </c>
    </row>
    <row r="10" spans="1:7" x14ac:dyDescent="0.25">
      <c r="A10" t="s">
        <v>6</v>
      </c>
      <c r="B10">
        <v>7</v>
      </c>
      <c r="C10" t="s">
        <v>7</v>
      </c>
      <c r="D10" t="s">
        <v>8</v>
      </c>
      <c r="E10">
        <v>1000000</v>
      </c>
      <c r="F10">
        <v>20.65</v>
      </c>
      <c r="G10">
        <v>20.13</v>
      </c>
    </row>
    <row r="11" spans="1:7" x14ac:dyDescent="0.25">
      <c r="A11" t="s">
        <v>6</v>
      </c>
      <c r="B11">
        <v>7</v>
      </c>
      <c r="C11" t="s">
        <v>7</v>
      </c>
      <c r="D11" t="s">
        <v>8</v>
      </c>
      <c r="E11">
        <v>1000000</v>
      </c>
      <c r="F11">
        <v>18.8</v>
      </c>
      <c r="G11">
        <v>19.329999999999998</v>
      </c>
    </row>
    <row r="12" spans="1:7" x14ac:dyDescent="0.25">
      <c r="A12" t="s">
        <v>6</v>
      </c>
      <c r="B12">
        <v>7</v>
      </c>
      <c r="C12" t="s">
        <v>7</v>
      </c>
      <c r="D12" t="s">
        <v>8</v>
      </c>
      <c r="E12">
        <v>1000000</v>
      </c>
      <c r="F12">
        <v>20.309999999999999</v>
      </c>
      <c r="G12">
        <v>24.24</v>
      </c>
    </row>
    <row r="13" spans="1:7" x14ac:dyDescent="0.25">
      <c r="A13" t="s">
        <v>6</v>
      </c>
      <c r="B13">
        <v>7</v>
      </c>
      <c r="C13" t="s">
        <v>7</v>
      </c>
      <c r="D13" t="s">
        <v>8</v>
      </c>
      <c r="E13">
        <v>1000000</v>
      </c>
      <c r="F13">
        <v>18.8</v>
      </c>
      <c r="G13">
        <v>22.98</v>
      </c>
    </row>
    <row r="14" spans="1:7" x14ac:dyDescent="0.25">
      <c r="A14" t="s">
        <v>6</v>
      </c>
      <c r="B14">
        <v>7</v>
      </c>
      <c r="C14" t="s">
        <v>7</v>
      </c>
      <c r="D14" t="s">
        <v>8</v>
      </c>
      <c r="E14">
        <v>1000000</v>
      </c>
      <c r="F14">
        <v>18.8</v>
      </c>
      <c r="G14">
        <v>21.92</v>
      </c>
    </row>
    <row r="15" spans="1:7" x14ac:dyDescent="0.25">
      <c r="A15" t="s">
        <v>6</v>
      </c>
      <c r="B15">
        <v>7</v>
      </c>
      <c r="C15" t="s">
        <v>7</v>
      </c>
      <c r="D15" t="s">
        <v>8</v>
      </c>
      <c r="E15">
        <v>1000000</v>
      </c>
      <c r="F15">
        <v>19.86</v>
      </c>
      <c r="G15">
        <v>22.42</v>
      </c>
    </row>
    <row r="16" spans="1:7" x14ac:dyDescent="0.25">
      <c r="A16" t="s">
        <v>6</v>
      </c>
      <c r="B16">
        <v>7</v>
      </c>
      <c r="C16" t="s">
        <v>7</v>
      </c>
      <c r="D16" t="s">
        <v>8</v>
      </c>
      <c r="E16">
        <v>1000000</v>
      </c>
      <c r="F16">
        <v>16.63</v>
      </c>
      <c r="G16">
        <v>20.309999999999999</v>
      </c>
    </row>
    <row r="17" spans="1:7" x14ac:dyDescent="0.25">
      <c r="A17" t="s">
        <v>6</v>
      </c>
      <c r="B17">
        <v>7</v>
      </c>
      <c r="C17" t="s">
        <v>7</v>
      </c>
      <c r="D17" t="s">
        <v>8</v>
      </c>
      <c r="E17">
        <v>1000000</v>
      </c>
      <c r="F17">
        <v>16.91</v>
      </c>
      <c r="G17">
        <v>25.67</v>
      </c>
    </row>
    <row r="18" spans="1:7" x14ac:dyDescent="0.25">
      <c r="A18" t="s">
        <v>6</v>
      </c>
      <c r="B18">
        <v>7</v>
      </c>
      <c r="C18" t="s">
        <v>7</v>
      </c>
      <c r="D18" t="s">
        <v>8</v>
      </c>
      <c r="E18">
        <v>1000000</v>
      </c>
      <c r="F18">
        <v>18.66</v>
      </c>
      <c r="G18">
        <v>22.19</v>
      </c>
    </row>
    <row r="19" spans="1:7" x14ac:dyDescent="0.25">
      <c r="A19" t="s">
        <v>6</v>
      </c>
      <c r="B19">
        <v>7</v>
      </c>
      <c r="C19" t="s">
        <v>7</v>
      </c>
      <c r="D19" t="s">
        <v>8</v>
      </c>
      <c r="E19">
        <v>1000000</v>
      </c>
      <c r="F19">
        <v>17.98</v>
      </c>
      <c r="G19">
        <v>22.16</v>
      </c>
    </row>
    <row r="20" spans="1:7" x14ac:dyDescent="0.25">
      <c r="A20" t="s">
        <v>6</v>
      </c>
      <c r="B20">
        <v>7</v>
      </c>
      <c r="C20" t="s">
        <v>7</v>
      </c>
      <c r="D20" t="s">
        <v>8</v>
      </c>
      <c r="E20">
        <v>1000000</v>
      </c>
      <c r="F20">
        <v>19.97</v>
      </c>
      <c r="G20">
        <v>23.09</v>
      </c>
    </row>
    <row r="21" spans="1:7" x14ac:dyDescent="0.25">
      <c r="A21" t="s">
        <v>6</v>
      </c>
      <c r="B21">
        <v>7</v>
      </c>
      <c r="C21" t="s">
        <v>7</v>
      </c>
      <c r="D21" t="s">
        <v>8</v>
      </c>
      <c r="E21">
        <v>1000000</v>
      </c>
      <c r="F21">
        <v>18.14</v>
      </c>
      <c r="G21">
        <v>22.72</v>
      </c>
    </row>
    <row r="22" spans="1:7" x14ac:dyDescent="0.25">
      <c r="A22" t="s">
        <v>6</v>
      </c>
      <c r="B22">
        <v>7</v>
      </c>
      <c r="C22" t="s">
        <v>7</v>
      </c>
      <c r="D22" t="s">
        <v>8</v>
      </c>
      <c r="E22">
        <v>1000000</v>
      </c>
      <c r="F22">
        <v>17.38</v>
      </c>
      <c r="G22">
        <v>22.34</v>
      </c>
    </row>
    <row r="23" spans="1:7" x14ac:dyDescent="0.25">
      <c r="A23" t="s">
        <v>6</v>
      </c>
      <c r="B23">
        <v>7</v>
      </c>
      <c r="C23" t="s">
        <v>7</v>
      </c>
      <c r="D23" t="s">
        <v>8</v>
      </c>
      <c r="E23">
        <v>1000000</v>
      </c>
      <c r="F23">
        <v>21.7</v>
      </c>
      <c r="G23">
        <v>20.81</v>
      </c>
    </row>
    <row r="24" spans="1:7" x14ac:dyDescent="0.25">
      <c r="A24" t="s">
        <v>6</v>
      </c>
      <c r="B24">
        <v>7</v>
      </c>
      <c r="C24" t="s">
        <v>7</v>
      </c>
      <c r="D24" t="s">
        <v>8</v>
      </c>
      <c r="E24">
        <v>1000000</v>
      </c>
      <c r="F24">
        <v>19.16</v>
      </c>
      <c r="G24">
        <v>22.71</v>
      </c>
    </row>
    <row r="25" spans="1:7" x14ac:dyDescent="0.25">
      <c r="A25" t="s">
        <v>6</v>
      </c>
      <c r="B25">
        <v>7</v>
      </c>
      <c r="C25" t="s">
        <v>7</v>
      </c>
      <c r="D25" t="s">
        <v>8</v>
      </c>
      <c r="E25">
        <v>1000000</v>
      </c>
      <c r="F25">
        <v>19.600000000000001</v>
      </c>
      <c r="G25">
        <v>24.82</v>
      </c>
    </row>
    <row r="26" spans="1:7" x14ac:dyDescent="0.25">
      <c r="A26" t="s">
        <v>6</v>
      </c>
      <c r="B26">
        <v>7</v>
      </c>
      <c r="C26" t="s">
        <v>7</v>
      </c>
      <c r="D26" t="s">
        <v>8</v>
      </c>
      <c r="E26">
        <v>1000000</v>
      </c>
      <c r="F26">
        <v>17.36</v>
      </c>
      <c r="G26">
        <v>24.02</v>
      </c>
    </row>
    <row r="27" spans="1:7" x14ac:dyDescent="0.25">
      <c r="A27" t="s">
        <v>6</v>
      </c>
      <c r="B27">
        <v>7</v>
      </c>
      <c r="C27" t="s">
        <v>7</v>
      </c>
      <c r="D27" t="s">
        <v>8</v>
      </c>
      <c r="E27">
        <v>1000000</v>
      </c>
      <c r="F27">
        <v>18.68</v>
      </c>
      <c r="G27">
        <v>24.39</v>
      </c>
    </row>
    <row r="28" spans="1:7" x14ac:dyDescent="0.25">
      <c r="A28" t="s">
        <v>6</v>
      </c>
      <c r="B28">
        <v>7</v>
      </c>
      <c r="C28" t="s">
        <v>7</v>
      </c>
      <c r="D28" t="s">
        <v>8</v>
      </c>
      <c r="E28">
        <v>1000000</v>
      </c>
      <c r="F28">
        <v>19.670000000000002</v>
      </c>
      <c r="G28">
        <v>21.23</v>
      </c>
    </row>
    <row r="29" spans="1:7" x14ac:dyDescent="0.25">
      <c r="A29" t="s">
        <v>6</v>
      </c>
      <c r="B29">
        <v>7</v>
      </c>
      <c r="C29" t="s">
        <v>7</v>
      </c>
      <c r="D29" t="s">
        <v>8</v>
      </c>
      <c r="E29">
        <v>1000000</v>
      </c>
      <c r="F29">
        <v>17.77</v>
      </c>
      <c r="G29">
        <v>20.52</v>
      </c>
    </row>
    <row r="30" spans="1:7" x14ac:dyDescent="0.25">
      <c r="A30" t="s">
        <v>6</v>
      </c>
      <c r="B30">
        <v>7</v>
      </c>
      <c r="C30" t="s">
        <v>7</v>
      </c>
      <c r="D30" t="s">
        <v>8</v>
      </c>
      <c r="E30">
        <v>1000000</v>
      </c>
      <c r="F30">
        <v>20.059999999999999</v>
      </c>
      <c r="G30">
        <v>21.81</v>
      </c>
    </row>
    <row r="31" spans="1:7" x14ac:dyDescent="0.25">
      <c r="A31" t="s">
        <v>6</v>
      </c>
      <c r="B31">
        <v>7</v>
      </c>
      <c r="C31" t="s">
        <v>7</v>
      </c>
      <c r="D31" t="s">
        <v>8</v>
      </c>
      <c r="E31">
        <v>1000000</v>
      </c>
      <c r="F31">
        <v>18.600000000000001</v>
      </c>
      <c r="G31">
        <v>22.08</v>
      </c>
    </row>
    <row r="32" spans="1:7" x14ac:dyDescent="0.25">
      <c r="A32" t="s">
        <v>6</v>
      </c>
      <c r="B32">
        <v>7</v>
      </c>
      <c r="C32" t="s">
        <v>7</v>
      </c>
      <c r="D32" t="s">
        <v>8</v>
      </c>
      <c r="E32">
        <v>1000000</v>
      </c>
      <c r="F32">
        <v>19.059999999999999</v>
      </c>
      <c r="G32">
        <v>23.64</v>
      </c>
    </row>
    <row r="33" spans="1:7" x14ac:dyDescent="0.25">
      <c r="A33" t="s">
        <v>6</v>
      </c>
      <c r="B33">
        <v>7</v>
      </c>
      <c r="C33" t="s">
        <v>7</v>
      </c>
      <c r="D33" t="s">
        <v>8</v>
      </c>
      <c r="E33">
        <v>1000000</v>
      </c>
      <c r="F33">
        <v>18.600000000000001</v>
      </c>
      <c r="G33">
        <v>19.46</v>
      </c>
    </row>
    <row r="34" spans="1:7" x14ac:dyDescent="0.25">
      <c r="A34" t="s">
        <v>6</v>
      </c>
      <c r="B34">
        <v>7</v>
      </c>
      <c r="C34" t="s">
        <v>7</v>
      </c>
      <c r="D34" t="s">
        <v>8</v>
      </c>
      <c r="E34">
        <v>1000000</v>
      </c>
      <c r="F34">
        <v>22.28</v>
      </c>
      <c r="G34">
        <v>24.29</v>
      </c>
    </row>
    <row r="35" spans="1:7" x14ac:dyDescent="0.25">
      <c r="A35" t="s">
        <v>6</v>
      </c>
      <c r="B35">
        <v>7</v>
      </c>
      <c r="C35" t="s">
        <v>7</v>
      </c>
      <c r="D35" t="s">
        <v>8</v>
      </c>
      <c r="E35">
        <v>1000000</v>
      </c>
      <c r="F35">
        <v>19.48</v>
      </c>
      <c r="G35">
        <v>21.76</v>
      </c>
    </row>
    <row r="36" spans="1:7" x14ac:dyDescent="0.25">
      <c r="A36" t="s">
        <v>6</v>
      </c>
      <c r="B36">
        <v>7</v>
      </c>
      <c r="C36" t="s">
        <v>7</v>
      </c>
      <c r="D36" t="s">
        <v>8</v>
      </c>
      <c r="E36">
        <v>1000000</v>
      </c>
      <c r="F36">
        <v>17.91</v>
      </c>
      <c r="G36">
        <v>21.36</v>
      </c>
    </row>
    <row r="37" spans="1:7" x14ac:dyDescent="0.25">
      <c r="A37" t="s">
        <v>6</v>
      </c>
      <c r="B37">
        <v>7</v>
      </c>
      <c r="C37" t="s">
        <v>7</v>
      </c>
      <c r="D37" t="s">
        <v>8</v>
      </c>
      <c r="E37">
        <v>1000000</v>
      </c>
      <c r="F37">
        <v>20.73</v>
      </c>
      <c r="G37">
        <v>20.48</v>
      </c>
    </row>
    <row r="38" spans="1:7" x14ac:dyDescent="0.25">
      <c r="A38" t="s">
        <v>6</v>
      </c>
      <c r="B38">
        <v>7</v>
      </c>
      <c r="C38" t="s">
        <v>7</v>
      </c>
      <c r="D38" t="s">
        <v>8</v>
      </c>
      <c r="E38">
        <v>1000000</v>
      </c>
      <c r="F38">
        <v>17.670000000000002</v>
      </c>
      <c r="G38">
        <v>19.52</v>
      </c>
    </row>
    <row r="39" spans="1:7" x14ac:dyDescent="0.25">
      <c r="A39" t="s">
        <v>6</v>
      </c>
      <c r="B39">
        <v>7</v>
      </c>
      <c r="C39" t="s">
        <v>7</v>
      </c>
      <c r="D39" t="s">
        <v>8</v>
      </c>
      <c r="E39">
        <v>1000000</v>
      </c>
      <c r="F39">
        <v>19.809999999999999</v>
      </c>
      <c r="G39">
        <v>23.23</v>
      </c>
    </row>
    <row r="40" spans="1:7" x14ac:dyDescent="0.25">
      <c r="A40" t="s">
        <v>6</v>
      </c>
      <c r="B40">
        <v>7</v>
      </c>
      <c r="C40" t="s">
        <v>7</v>
      </c>
      <c r="D40" t="s">
        <v>8</v>
      </c>
      <c r="E40">
        <v>1000000</v>
      </c>
      <c r="F40">
        <v>16.559999999999999</v>
      </c>
      <c r="G40">
        <v>22.11</v>
      </c>
    </row>
    <row r="41" spans="1:7" x14ac:dyDescent="0.25">
      <c r="A41" t="s">
        <v>6</v>
      </c>
      <c r="B41">
        <v>7</v>
      </c>
      <c r="C41" t="s">
        <v>7</v>
      </c>
      <c r="D41" t="s">
        <v>8</v>
      </c>
      <c r="E41">
        <v>1000000</v>
      </c>
      <c r="F41">
        <v>17.510000000000002</v>
      </c>
      <c r="G41">
        <v>20.07</v>
      </c>
    </row>
    <row r="42" spans="1:7" x14ac:dyDescent="0.25">
      <c r="A42" t="s">
        <v>6</v>
      </c>
      <c r="B42">
        <v>7</v>
      </c>
      <c r="C42" t="s">
        <v>7</v>
      </c>
      <c r="D42" t="s">
        <v>8</v>
      </c>
      <c r="E42">
        <v>1000000</v>
      </c>
      <c r="F42">
        <v>19.8</v>
      </c>
      <c r="G42">
        <v>20.059999999999999</v>
      </c>
    </row>
    <row r="43" spans="1:7" x14ac:dyDescent="0.25">
      <c r="A43" t="s">
        <v>6</v>
      </c>
      <c r="B43">
        <v>7</v>
      </c>
      <c r="C43" t="s">
        <v>7</v>
      </c>
      <c r="D43" t="s">
        <v>8</v>
      </c>
      <c r="E43">
        <v>1000000</v>
      </c>
      <c r="F43">
        <v>20.61</v>
      </c>
      <c r="G43">
        <v>21.5</v>
      </c>
    </row>
    <row r="44" spans="1:7" x14ac:dyDescent="0.25">
      <c r="A44" t="s">
        <v>6</v>
      </c>
      <c r="B44">
        <v>7</v>
      </c>
      <c r="C44" t="s">
        <v>7</v>
      </c>
      <c r="D44" t="s">
        <v>8</v>
      </c>
      <c r="E44">
        <v>1000000</v>
      </c>
      <c r="F44">
        <v>19.760000000000002</v>
      </c>
      <c r="G44">
        <v>24.5</v>
      </c>
    </row>
    <row r="45" spans="1:7" x14ac:dyDescent="0.25">
      <c r="A45" t="s">
        <v>6</v>
      </c>
      <c r="B45">
        <v>7</v>
      </c>
      <c r="C45" t="s">
        <v>7</v>
      </c>
      <c r="D45" t="s">
        <v>8</v>
      </c>
      <c r="E45">
        <v>1000000</v>
      </c>
      <c r="F45">
        <v>19.329999999999998</v>
      </c>
      <c r="G45">
        <v>21.61</v>
      </c>
    </row>
    <row r="46" spans="1:7" x14ac:dyDescent="0.25">
      <c r="A46" t="s">
        <v>6</v>
      </c>
      <c r="B46">
        <v>7</v>
      </c>
      <c r="C46" t="s">
        <v>7</v>
      </c>
      <c r="D46" t="s">
        <v>8</v>
      </c>
      <c r="E46">
        <v>1000000</v>
      </c>
      <c r="F46">
        <v>19.05</v>
      </c>
      <c r="G46">
        <v>19.75</v>
      </c>
    </row>
    <row r="47" spans="1:7" x14ac:dyDescent="0.25">
      <c r="A47" t="s">
        <v>6</v>
      </c>
      <c r="B47">
        <v>7</v>
      </c>
      <c r="C47" t="s">
        <v>7</v>
      </c>
      <c r="D47" t="s">
        <v>8</v>
      </c>
      <c r="E47">
        <v>1000000</v>
      </c>
      <c r="F47">
        <v>17.28</v>
      </c>
      <c r="G47">
        <v>21.63</v>
      </c>
    </row>
    <row r="48" spans="1:7" x14ac:dyDescent="0.25">
      <c r="A48" t="s">
        <v>6</v>
      </c>
      <c r="B48">
        <v>7</v>
      </c>
      <c r="C48" t="s">
        <v>7</v>
      </c>
      <c r="D48" t="s">
        <v>8</v>
      </c>
      <c r="E48">
        <v>1000000</v>
      </c>
      <c r="F48">
        <v>18.420000000000002</v>
      </c>
      <c r="G48">
        <v>21.59</v>
      </c>
    </row>
    <row r="49" spans="1:7" x14ac:dyDescent="0.25">
      <c r="A49" t="s">
        <v>6</v>
      </c>
      <c r="B49">
        <v>7</v>
      </c>
      <c r="C49" t="s">
        <v>7</v>
      </c>
      <c r="D49" t="s">
        <v>8</v>
      </c>
      <c r="E49">
        <v>1000000</v>
      </c>
      <c r="F49">
        <v>18.809999999999999</v>
      </c>
      <c r="G49">
        <v>17.95</v>
      </c>
    </row>
    <row r="50" spans="1:7" x14ac:dyDescent="0.25">
      <c r="A50" t="s">
        <v>6</v>
      </c>
      <c r="B50">
        <v>7</v>
      </c>
      <c r="C50" t="s">
        <v>7</v>
      </c>
      <c r="D50" t="s">
        <v>8</v>
      </c>
      <c r="E50">
        <v>1000000</v>
      </c>
      <c r="F50">
        <v>21.09</v>
      </c>
      <c r="G50">
        <v>21.92</v>
      </c>
    </row>
    <row r="51" spans="1:7" x14ac:dyDescent="0.25">
      <c r="A51" t="s">
        <v>6</v>
      </c>
      <c r="B51">
        <v>7</v>
      </c>
      <c r="C51" t="s">
        <v>7</v>
      </c>
      <c r="D51" t="s">
        <v>8</v>
      </c>
      <c r="E51">
        <v>1000000</v>
      </c>
      <c r="F51">
        <v>20.02</v>
      </c>
      <c r="G51">
        <v>21.65</v>
      </c>
    </row>
    <row r="52" spans="1:7" x14ac:dyDescent="0.25">
      <c r="A52" t="s">
        <v>6</v>
      </c>
      <c r="B52">
        <v>7</v>
      </c>
      <c r="C52" t="s">
        <v>7</v>
      </c>
      <c r="D52" t="s">
        <v>8</v>
      </c>
      <c r="E52">
        <v>1000000</v>
      </c>
      <c r="F52">
        <v>16.86</v>
      </c>
      <c r="G52">
        <v>23.04</v>
      </c>
    </row>
    <row r="53" spans="1:7" x14ac:dyDescent="0.25">
      <c r="A53" t="s">
        <v>6</v>
      </c>
      <c r="B53">
        <v>7</v>
      </c>
      <c r="C53" t="s">
        <v>7</v>
      </c>
      <c r="D53" t="s">
        <v>8</v>
      </c>
      <c r="E53">
        <v>1000000</v>
      </c>
      <c r="F53">
        <v>19.989999999999998</v>
      </c>
      <c r="G53">
        <v>24.77</v>
      </c>
    </row>
    <row r="54" spans="1:7" x14ac:dyDescent="0.25">
      <c r="A54" t="s">
        <v>6</v>
      </c>
      <c r="B54">
        <v>7</v>
      </c>
      <c r="C54" t="s">
        <v>7</v>
      </c>
      <c r="D54" t="s">
        <v>8</v>
      </c>
      <c r="E54">
        <v>1000000</v>
      </c>
      <c r="F54">
        <v>18.920000000000002</v>
      </c>
      <c r="G54">
        <v>23.69</v>
      </c>
    </row>
    <row r="55" spans="1:7" x14ac:dyDescent="0.25">
      <c r="A55" t="s">
        <v>6</v>
      </c>
      <c r="B55">
        <v>7</v>
      </c>
      <c r="C55" t="s">
        <v>7</v>
      </c>
      <c r="D55" t="s">
        <v>8</v>
      </c>
      <c r="E55">
        <v>1000000</v>
      </c>
      <c r="F55">
        <v>18.48</v>
      </c>
      <c r="G55">
        <v>21.6</v>
      </c>
    </row>
    <row r="56" spans="1:7" x14ac:dyDescent="0.25">
      <c r="A56" t="s">
        <v>6</v>
      </c>
      <c r="B56">
        <v>7</v>
      </c>
      <c r="C56" t="s">
        <v>7</v>
      </c>
      <c r="D56" t="s">
        <v>8</v>
      </c>
      <c r="E56">
        <v>1000000</v>
      </c>
      <c r="F56">
        <v>20.420000000000002</v>
      </c>
      <c r="G56">
        <v>20.34</v>
      </c>
    </row>
    <row r="57" spans="1:7" x14ac:dyDescent="0.25">
      <c r="A57" t="s">
        <v>6</v>
      </c>
      <c r="B57">
        <v>7</v>
      </c>
      <c r="C57" t="s">
        <v>7</v>
      </c>
      <c r="D57" t="s">
        <v>8</v>
      </c>
      <c r="E57">
        <v>1000000</v>
      </c>
      <c r="F57">
        <v>21.05</v>
      </c>
      <c r="G57">
        <v>25.86</v>
      </c>
    </row>
    <row r="58" spans="1:7" x14ac:dyDescent="0.25">
      <c r="A58" t="s">
        <v>6</v>
      </c>
      <c r="B58">
        <v>7</v>
      </c>
      <c r="C58" t="s">
        <v>7</v>
      </c>
      <c r="D58" t="s">
        <v>8</v>
      </c>
      <c r="E58">
        <v>1000000</v>
      </c>
      <c r="F58">
        <v>20.9</v>
      </c>
      <c r="G58">
        <v>22.09</v>
      </c>
    </row>
    <row r="59" spans="1:7" x14ac:dyDescent="0.25">
      <c r="A59" t="s">
        <v>6</v>
      </c>
      <c r="B59">
        <v>7</v>
      </c>
      <c r="C59" t="s">
        <v>7</v>
      </c>
      <c r="D59" t="s">
        <v>8</v>
      </c>
      <c r="E59">
        <v>1000000</v>
      </c>
      <c r="F59">
        <v>18.239999999999998</v>
      </c>
      <c r="G59">
        <v>22.02</v>
      </c>
    </row>
    <row r="60" spans="1:7" x14ac:dyDescent="0.25">
      <c r="A60" t="s">
        <v>6</v>
      </c>
      <c r="B60">
        <v>7</v>
      </c>
      <c r="C60" t="s">
        <v>7</v>
      </c>
      <c r="D60" t="s">
        <v>8</v>
      </c>
      <c r="E60">
        <v>1000000</v>
      </c>
      <c r="F60">
        <v>19.04</v>
      </c>
      <c r="G60">
        <v>21.96</v>
      </c>
    </row>
    <row r="61" spans="1:7" x14ac:dyDescent="0.25">
      <c r="A61" t="s">
        <v>6</v>
      </c>
      <c r="B61">
        <v>7</v>
      </c>
      <c r="C61" t="s">
        <v>7</v>
      </c>
      <c r="D61" t="s">
        <v>8</v>
      </c>
      <c r="E61">
        <v>1000000</v>
      </c>
      <c r="F61">
        <v>20</v>
      </c>
      <c r="G61">
        <v>22.3</v>
      </c>
    </row>
    <row r="62" spans="1:7" x14ac:dyDescent="0.25">
      <c r="A62" t="s">
        <v>6</v>
      </c>
      <c r="B62">
        <v>7</v>
      </c>
      <c r="C62" t="s">
        <v>7</v>
      </c>
      <c r="D62" t="s">
        <v>8</v>
      </c>
      <c r="E62">
        <v>1000000</v>
      </c>
      <c r="F62">
        <v>20.96</v>
      </c>
      <c r="G62">
        <v>21.78</v>
      </c>
    </row>
    <row r="63" spans="1:7" x14ac:dyDescent="0.25">
      <c r="A63" t="s">
        <v>6</v>
      </c>
      <c r="B63">
        <v>7</v>
      </c>
      <c r="C63" t="s">
        <v>7</v>
      </c>
      <c r="D63" t="s">
        <v>8</v>
      </c>
      <c r="E63">
        <v>1000000</v>
      </c>
      <c r="F63">
        <v>18.78</v>
      </c>
      <c r="G63">
        <v>21.14</v>
      </c>
    </row>
    <row r="64" spans="1:7" x14ac:dyDescent="0.25">
      <c r="A64" t="s">
        <v>6</v>
      </c>
      <c r="B64">
        <v>7</v>
      </c>
      <c r="C64" t="s">
        <v>7</v>
      </c>
      <c r="D64" t="s">
        <v>8</v>
      </c>
      <c r="E64">
        <v>1000000</v>
      </c>
      <c r="F64">
        <v>19.22</v>
      </c>
      <c r="G64">
        <v>21.18</v>
      </c>
    </row>
    <row r="65" spans="1:7" x14ac:dyDescent="0.25">
      <c r="A65" t="s">
        <v>6</v>
      </c>
      <c r="B65">
        <v>7</v>
      </c>
      <c r="C65" t="s">
        <v>7</v>
      </c>
      <c r="D65" t="s">
        <v>8</v>
      </c>
      <c r="E65">
        <v>1000000</v>
      </c>
      <c r="F65">
        <v>17.84</v>
      </c>
      <c r="G65">
        <v>21.95</v>
      </c>
    </row>
    <row r="66" spans="1:7" x14ac:dyDescent="0.25">
      <c r="A66" t="s">
        <v>6</v>
      </c>
      <c r="B66">
        <v>7</v>
      </c>
      <c r="C66" t="s">
        <v>7</v>
      </c>
      <c r="D66" t="s">
        <v>8</v>
      </c>
      <c r="E66">
        <v>1000000</v>
      </c>
      <c r="F66">
        <v>17.71</v>
      </c>
      <c r="G66">
        <v>21.18</v>
      </c>
    </row>
    <row r="67" spans="1:7" x14ac:dyDescent="0.25">
      <c r="A67" t="s">
        <v>6</v>
      </c>
      <c r="B67">
        <v>7</v>
      </c>
      <c r="C67" t="s">
        <v>7</v>
      </c>
      <c r="D67" t="s">
        <v>8</v>
      </c>
      <c r="E67">
        <v>1000000</v>
      </c>
      <c r="F67">
        <v>20.72</v>
      </c>
      <c r="G67">
        <v>20.93</v>
      </c>
    </row>
    <row r="68" spans="1:7" x14ac:dyDescent="0.25">
      <c r="A68" t="s">
        <v>6</v>
      </c>
      <c r="B68">
        <v>7</v>
      </c>
      <c r="C68" t="s">
        <v>7</v>
      </c>
      <c r="D68" t="s">
        <v>8</v>
      </c>
      <c r="E68">
        <v>1000000</v>
      </c>
      <c r="F68">
        <v>21.53</v>
      </c>
      <c r="G68">
        <v>22.16</v>
      </c>
    </row>
    <row r="69" spans="1:7" x14ac:dyDescent="0.25">
      <c r="A69" t="s">
        <v>6</v>
      </c>
      <c r="B69">
        <v>7</v>
      </c>
      <c r="C69" t="s">
        <v>7</v>
      </c>
      <c r="D69" t="s">
        <v>8</v>
      </c>
      <c r="E69">
        <v>1000000</v>
      </c>
      <c r="F69">
        <v>19.39</v>
      </c>
      <c r="G69">
        <v>21.62</v>
      </c>
    </row>
    <row r="70" spans="1:7" x14ac:dyDescent="0.25">
      <c r="A70" t="s">
        <v>6</v>
      </c>
      <c r="B70">
        <v>7</v>
      </c>
      <c r="C70" t="s">
        <v>7</v>
      </c>
      <c r="D70" t="s">
        <v>8</v>
      </c>
      <c r="E70">
        <v>1000000</v>
      </c>
      <c r="F70">
        <v>21.01</v>
      </c>
      <c r="G70">
        <v>24.26</v>
      </c>
    </row>
    <row r="71" spans="1:7" x14ac:dyDescent="0.25">
      <c r="A71" t="s">
        <v>6</v>
      </c>
      <c r="B71">
        <v>7</v>
      </c>
      <c r="C71" t="s">
        <v>7</v>
      </c>
      <c r="D71" t="s">
        <v>8</v>
      </c>
      <c r="E71">
        <v>1000000</v>
      </c>
      <c r="F71">
        <v>20.04</v>
      </c>
      <c r="G71">
        <v>18.02</v>
      </c>
    </row>
    <row r="72" spans="1:7" x14ac:dyDescent="0.25">
      <c r="A72" t="s">
        <v>6</v>
      </c>
      <c r="B72">
        <v>7</v>
      </c>
      <c r="C72" t="s">
        <v>7</v>
      </c>
      <c r="D72" t="s">
        <v>8</v>
      </c>
      <c r="E72">
        <v>1000000</v>
      </c>
      <c r="F72">
        <v>18.53</v>
      </c>
      <c r="G72">
        <v>23.64</v>
      </c>
    </row>
    <row r="73" spans="1:7" x14ac:dyDescent="0.25">
      <c r="A73" t="s">
        <v>6</v>
      </c>
      <c r="B73">
        <v>7</v>
      </c>
      <c r="C73" t="s">
        <v>7</v>
      </c>
      <c r="D73" t="s">
        <v>8</v>
      </c>
      <c r="E73">
        <v>1000000</v>
      </c>
      <c r="F73">
        <v>20.04</v>
      </c>
      <c r="G73">
        <v>23.87</v>
      </c>
    </row>
    <row r="74" spans="1:7" x14ac:dyDescent="0.25">
      <c r="A74" t="s">
        <v>6</v>
      </c>
      <c r="B74">
        <v>7</v>
      </c>
      <c r="C74" t="s">
        <v>7</v>
      </c>
      <c r="D74" t="s">
        <v>8</v>
      </c>
      <c r="E74">
        <v>1000000</v>
      </c>
      <c r="F74">
        <v>21.81</v>
      </c>
      <c r="G74">
        <v>18.89</v>
      </c>
    </row>
    <row r="75" spans="1:7" x14ac:dyDescent="0.25">
      <c r="A75" t="s">
        <v>6</v>
      </c>
      <c r="B75">
        <v>7</v>
      </c>
      <c r="C75" t="s">
        <v>7</v>
      </c>
      <c r="D75" t="s">
        <v>8</v>
      </c>
      <c r="E75">
        <v>1000000</v>
      </c>
      <c r="F75">
        <v>19.45</v>
      </c>
      <c r="G75">
        <v>21.49</v>
      </c>
    </row>
    <row r="76" spans="1:7" x14ac:dyDescent="0.25">
      <c r="A76" t="s">
        <v>6</v>
      </c>
      <c r="B76">
        <v>7</v>
      </c>
      <c r="C76" t="s">
        <v>7</v>
      </c>
      <c r="D76" t="s">
        <v>8</v>
      </c>
      <c r="E76">
        <v>1000000</v>
      </c>
      <c r="F76">
        <v>21.85</v>
      </c>
      <c r="G76">
        <v>21.44</v>
      </c>
    </row>
    <row r="77" spans="1:7" x14ac:dyDescent="0.25">
      <c r="A77" t="s">
        <v>6</v>
      </c>
      <c r="B77">
        <v>7</v>
      </c>
      <c r="C77" t="s">
        <v>7</v>
      </c>
      <c r="D77" t="s">
        <v>8</v>
      </c>
      <c r="E77">
        <v>1000000</v>
      </c>
      <c r="F77">
        <v>15.57</v>
      </c>
      <c r="G77">
        <v>19.89</v>
      </c>
    </row>
    <row r="78" spans="1:7" x14ac:dyDescent="0.25">
      <c r="A78" t="s">
        <v>6</v>
      </c>
      <c r="B78">
        <v>7</v>
      </c>
      <c r="C78" t="s">
        <v>7</v>
      </c>
      <c r="D78" t="s">
        <v>8</v>
      </c>
      <c r="E78">
        <v>1000000</v>
      </c>
      <c r="F78">
        <v>20.73</v>
      </c>
      <c r="G78">
        <v>20.83</v>
      </c>
    </row>
    <row r="79" spans="1:7" x14ac:dyDescent="0.25">
      <c r="A79" t="s">
        <v>6</v>
      </c>
      <c r="B79">
        <v>7</v>
      </c>
      <c r="C79" t="s">
        <v>7</v>
      </c>
      <c r="D79" t="s">
        <v>8</v>
      </c>
      <c r="E79">
        <v>1000000</v>
      </c>
      <c r="F79">
        <v>19.63</v>
      </c>
      <c r="G79">
        <v>20.329999999999998</v>
      </c>
    </row>
    <row r="80" spans="1:7" x14ac:dyDescent="0.25">
      <c r="A80" t="s">
        <v>6</v>
      </c>
      <c r="B80">
        <v>7</v>
      </c>
      <c r="C80" t="s">
        <v>7</v>
      </c>
      <c r="D80" t="s">
        <v>8</v>
      </c>
      <c r="E80">
        <v>1000000</v>
      </c>
      <c r="F80">
        <v>19.05</v>
      </c>
      <c r="G80">
        <v>24.63</v>
      </c>
    </row>
    <row r="81" spans="1:7" x14ac:dyDescent="0.25">
      <c r="A81" t="s">
        <v>6</v>
      </c>
      <c r="B81">
        <v>7</v>
      </c>
      <c r="C81" t="s">
        <v>7</v>
      </c>
      <c r="D81" t="s">
        <v>8</v>
      </c>
      <c r="E81">
        <v>1000000</v>
      </c>
      <c r="F81">
        <v>19.64</v>
      </c>
      <c r="G81">
        <v>23.4</v>
      </c>
    </row>
    <row r="82" spans="1:7" x14ac:dyDescent="0.25">
      <c r="A82" t="s">
        <v>6</v>
      </c>
      <c r="B82">
        <v>7</v>
      </c>
      <c r="C82" t="s">
        <v>7</v>
      </c>
      <c r="D82" t="s">
        <v>8</v>
      </c>
      <c r="E82">
        <v>1000000</v>
      </c>
      <c r="F82">
        <v>16.52</v>
      </c>
      <c r="G82">
        <v>23.91</v>
      </c>
    </row>
    <row r="83" spans="1:7" x14ac:dyDescent="0.25">
      <c r="A83" t="s">
        <v>6</v>
      </c>
      <c r="B83">
        <v>7</v>
      </c>
      <c r="C83" t="s">
        <v>7</v>
      </c>
      <c r="D83" t="s">
        <v>8</v>
      </c>
      <c r="E83">
        <v>1000000</v>
      </c>
      <c r="F83">
        <v>19.170000000000002</v>
      </c>
      <c r="G83">
        <v>23.08</v>
      </c>
    </row>
    <row r="84" spans="1:7" x14ac:dyDescent="0.25">
      <c r="A84" t="s">
        <v>6</v>
      </c>
      <c r="B84">
        <v>7</v>
      </c>
      <c r="C84" t="s">
        <v>7</v>
      </c>
      <c r="D84" t="s">
        <v>8</v>
      </c>
      <c r="E84">
        <v>1000000</v>
      </c>
      <c r="F84">
        <v>20.04</v>
      </c>
      <c r="G84">
        <v>20.309999999999999</v>
      </c>
    </row>
    <row r="85" spans="1:7" x14ac:dyDescent="0.25">
      <c r="A85" t="s">
        <v>6</v>
      </c>
      <c r="B85">
        <v>7</v>
      </c>
      <c r="C85" t="s">
        <v>7</v>
      </c>
      <c r="D85" t="s">
        <v>8</v>
      </c>
      <c r="E85">
        <v>1000000</v>
      </c>
      <c r="F85">
        <v>21.72</v>
      </c>
      <c r="G85">
        <v>21.21</v>
      </c>
    </row>
    <row r="86" spans="1:7" x14ac:dyDescent="0.25">
      <c r="A86" t="s">
        <v>6</v>
      </c>
      <c r="B86">
        <v>7</v>
      </c>
      <c r="C86" t="s">
        <v>7</v>
      </c>
      <c r="D86" t="s">
        <v>8</v>
      </c>
      <c r="E86">
        <v>1000000</v>
      </c>
      <c r="F86">
        <v>18.72</v>
      </c>
      <c r="G86">
        <v>22.73</v>
      </c>
    </row>
    <row r="87" spans="1:7" x14ac:dyDescent="0.25">
      <c r="A87" t="s">
        <v>6</v>
      </c>
      <c r="B87">
        <v>7</v>
      </c>
      <c r="C87" t="s">
        <v>7</v>
      </c>
      <c r="D87" t="s">
        <v>8</v>
      </c>
      <c r="E87">
        <v>1000000</v>
      </c>
      <c r="F87">
        <v>18.29</v>
      </c>
      <c r="G87">
        <v>20.170000000000002</v>
      </c>
    </row>
    <row r="88" spans="1:7" x14ac:dyDescent="0.25">
      <c r="A88" t="s">
        <v>6</v>
      </c>
      <c r="B88">
        <v>7</v>
      </c>
      <c r="C88" t="s">
        <v>7</v>
      </c>
      <c r="D88" t="s">
        <v>8</v>
      </c>
      <c r="E88">
        <v>1000000</v>
      </c>
      <c r="F88">
        <v>18.75</v>
      </c>
      <c r="G88">
        <v>23.07</v>
      </c>
    </row>
    <row r="89" spans="1:7" x14ac:dyDescent="0.25">
      <c r="A89" t="s">
        <v>6</v>
      </c>
      <c r="B89">
        <v>7</v>
      </c>
      <c r="C89" t="s">
        <v>7</v>
      </c>
      <c r="D89" t="s">
        <v>8</v>
      </c>
      <c r="E89">
        <v>1000000</v>
      </c>
      <c r="F89">
        <v>20.87</v>
      </c>
      <c r="G89">
        <v>21.64</v>
      </c>
    </row>
    <row r="90" spans="1:7" x14ac:dyDescent="0.25">
      <c r="A90" t="s">
        <v>6</v>
      </c>
      <c r="B90">
        <v>7</v>
      </c>
      <c r="C90" t="s">
        <v>7</v>
      </c>
      <c r="D90" t="s">
        <v>8</v>
      </c>
      <c r="E90">
        <v>1000000</v>
      </c>
      <c r="F90">
        <v>19.989999999999998</v>
      </c>
      <c r="G90">
        <v>21.44</v>
      </c>
    </row>
    <row r="91" spans="1:7" x14ac:dyDescent="0.25">
      <c r="A91" t="s">
        <v>6</v>
      </c>
      <c r="B91">
        <v>7</v>
      </c>
      <c r="C91" t="s">
        <v>7</v>
      </c>
      <c r="D91" t="s">
        <v>8</v>
      </c>
      <c r="E91">
        <v>1000000</v>
      </c>
      <c r="F91">
        <v>18.71</v>
      </c>
      <c r="G91">
        <v>23.07</v>
      </c>
    </row>
    <row r="92" spans="1:7" x14ac:dyDescent="0.25">
      <c r="A92" t="s">
        <v>6</v>
      </c>
      <c r="B92">
        <v>7</v>
      </c>
      <c r="C92" t="s">
        <v>7</v>
      </c>
      <c r="D92" t="s">
        <v>8</v>
      </c>
      <c r="E92">
        <v>1000000</v>
      </c>
      <c r="F92">
        <v>20.27</v>
      </c>
      <c r="G92">
        <v>22.67</v>
      </c>
    </row>
    <row r="93" spans="1:7" x14ac:dyDescent="0.25">
      <c r="A93" t="s">
        <v>6</v>
      </c>
      <c r="B93">
        <v>7</v>
      </c>
      <c r="C93" t="s">
        <v>7</v>
      </c>
      <c r="D93" t="s">
        <v>8</v>
      </c>
      <c r="E93">
        <v>1000000</v>
      </c>
      <c r="F93">
        <v>19.649999999999999</v>
      </c>
      <c r="G93">
        <v>21.46</v>
      </c>
    </row>
    <row r="94" spans="1:7" x14ac:dyDescent="0.25">
      <c r="A94" t="s">
        <v>6</v>
      </c>
      <c r="B94">
        <v>7</v>
      </c>
      <c r="C94" t="s">
        <v>7</v>
      </c>
      <c r="D94" t="s">
        <v>8</v>
      </c>
      <c r="E94">
        <v>1000000</v>
      </c>
      <c r="F94">
        <v>20.95</v>
      </c>
      <c r="G94">
        <v>23.74</v>
      </c>
    </row>
    <row r="95" spans="1:7" x14ac:dyDescent="0.25">
      <c r="A95" t="s">
        <v>6</v>
      </c>
      <c r="B95">
        <v>7</v>
      </c>
      <c r="C95" t="s">
        <v>7</v>
      </c>
      <c r="D95" t="s">
        <v>8</v>
      </c>
      <c r="E95">
        <v>1000000</v>
      </c>
      <c r="F95">
        <v>18.45</v>
      </c>
      <c r="G95">
        <v>20.38</v>
      </c>
    </row>
    <row r="96" spans="1:7" x14ac:dyDescent="0.25">
      <c r="A96" t="s">
        <v>6</v>
      </c>
      <c r="B96">
        <v>7</v>
      </c>
      <c r="C96" t="s">
        <v>7</v>
      </c>
      <c r="D96" t="s">
        <v>8</v>
      </c>
      <c r="E96">
        <v>1000000</v>
      </c>
      <c r="F96">
        <v>19.010000000000002</v>
      </c>
      <c r="G96">
        <v>22.92</v>
      </c>
    </row>
    <row r="97" spans="1:7" x14ac:dyDescent="0.25">
      <c r="A97" t="s">
        <v>6</v>
      </c>
      <c r="B97">
        <v>7</v>
      </c>
      <c r="C97" t="s">
        <v>7</v>
      </c>
      <c r="D97" t="s">
        <v>8</v>
      </c>
      <c r="E97">
        <v>1000000</v>
      </c>
      <c r="F97">
        <v>18.91</v>
      </c>
      <c r="G97">
        <v>22.89</v>
      </c>
    </row>
    <row r="98" spans="1:7" x14ac:dyDescent="0.25">
      <c r="A98" t="s">
        <v>6</v>
      </c>
      <c r="B98">
        <v>7</v>
      </c>
      <c r="C98" t="s">
        <v>7</v>
      </c>
      <c r="D98" t="s">
        <v>8</v>
      </c>
      <c r="E98">
        <v>1000000</v>
      </c>
      <c r="F98">
        <v>17.3</v>
      </c>
      <c r="G98">
        <v>21.54</v>
      </c>
    </row>
    <row r="99" spans="1:7" x14ac:dyDescent="0.25">
      <c r="A99" t="s">
        <v>6</v>
      </c>
      <c r="B99">
        <v>7</v>
      </c>
      <c r="C99" t="s">
        <v>7</v>
      </c>
      <c r="D99" t="s">
        <v>8</v>
      </c>
      <c r="E99">
        <v>1000000</v>
      </c>
      <c r="F99">
        <v>19.940000000000001</v>
      </c>
      <c r="G99">
        <v>22.49</v>
      </c>
    </row>
    <row r="100" spans="1:7" x14ac:dyDescent="0.25">
      <c r="A100" t="s">
        <v>6</v>
      </c>
      <c r="B100">
        <v>7</v>
      </c>
      <c r="C100" t="s">
        <v>7</v>
      </c>
      <c r="D100" t="s">
        <v>8</v>
      </c>
      <c r="E100">
        <v>1000000</v>
      </c>
      <c r="F100">
        <v>19.89</v>
      </c>
      <c r="G100">
        <v>20.12</v>
      </c>
    </row>
    <row r="101" spans="1:7" x14ac:dyDescent="0.25">
      <c r="A101" t="s">
        <v>6</v>
      </c>
      <c r="B101">
        <v>7</v>
      </c>
      <c r="C101" t="s">
        <v>7</v>
      </c>
      <c r="D101" t="s">
        <v>8</v>
      </c>
      <c r="E101">
        <v>1000000</v>
      </c>
      <c r="F101">
        <v>19.510000000000002</v>
      </c>
      <c r="G101">
        <v>23.39</v>
      </c>
    </row>
    <row r="102" spans="1:7" x14ac:dyDescent="0.25">
      <c r="A102" t="s">
        <v>6</v>
      </c>
      <c r="B102">
        <v>7</v>
      </c>
      <c r="C102" t="s">
        <v>7</v>
      </c>
      <c r="D102" t="s">
        <v>8</v>
      </c>
      <c r="E102">
        <v>1000000</v>
      </c>
      <c r="F102">
        <v>19.149999999999999</v>
      </c>
      <c r="G102">
        <v>21.72</v>
      </c>
    </row>
    <row r="103" spans="1:7" x14ac:dyDescent="0.25">
      <c r="A103" t="s">
        <v>6</v>
      </c>
      <c r="B103">
        <v>14</v>
      </c>
      <c r="C103" t="s">
        <v>7</v>
      </c>
      <c r="D103" t="s">
        <v>8</v>
      </c>
      <c r="E103">
        <v>1000000</v>
      </c>
      <c r="F103">
        <v>21.38</v>
      </c>
      <c r="G103">
        <v>25.72</v>
      </c>
    </row>
    <row r="104" spans="1:7" x14ac:dyDescent="0.25">
      <c r="A104" t="s">
        <v>6</v>
      </c>
      <c r="B104">
        <v>14</v>
      </c>
      <c r="C104" t="s">
        <v>7</v>
      </c>
      <c r="D104" t="s">
        <v>8</v>
      </c>
      <c r="E104">
        <v>1000000</v>
      </c>
      <c r="F104">
        <v>22.87</v>
      </c>
      <c r="G104">
        <v>28.07</v>
      </c>
    </row>
    <row r="105" spans="1:7" x14ac:dyDescent="0.25">
      <c r="A105" t="s">
        <v>6</v>
      </c>
      <c r="B105">
        <v>14</v>
      </c>
      <c r="C105" t="s">
        <v>7</v>
      </c>
      <c r="D105" t="s">
        <v>8</v>
      </c>
      <c r="E105">
        <v>1000000</v>
      </c>
      <c r="F105">
        <v>22.99</v>
      </c>
      <c r="G105">
        <v>25.44</v>
      </c>
    </row>
    <row r="106" spans="1:7" x14ac:dyDescent="0.25">
      <c r="A106" t="s">
        <v>6</v>
      </c>
      <c r="B106">
        <v>14</v>
      </c>
      <c r="C106" t="s">
        <v>7</v>
      </c>
      <c r="D106" t="s">
        <v>8</v>
      </c>
      <c r="E106">
        <v>1000000</v>
      </c>
      <c r="F106">
        <v>22.3</v>
      </c>
      <c r="G106">
        <v>24.39</v>
      </c>
    </row>
    <row r="107" spans="1:7" x14ac:dyDescent="0.25">
      <c r="A107" t="s">
        <v>6</v>
      </c>
      <c r="B107">
        <v>14</v>
      </c>
      <c r="C107" t="s">
        <v>7</v>
      </c>
      <c r="D107" t="s">
        <v>8</v>
      </c>
      <c r="E107">
        <v>1000000</v>
      </c>
      <c r="F107">
        <v>23.26</v>
      </c>
      <c r="G107">
        <v>24.17</v>
      </c>
    </row>
    <row r="108" spans="1:7" x14ac:dyDescent="0.25">
      <c r="A108" t="s">
        <v>6</v>
      </c>
      <c r="B108">
        <v>14</v>
      </c>
      <c r="C108" t="s">
        <v>7</v>
      </c>
      <c r="D108" t="s">
        <v>8</v>
      </c>
      <c r="E108">
        <v>1000000</v>
      </c>
      <c r="F108">
        <v>24.11</v>
      </c>
      <c r="G108">
        <v>27.41</v>
      </c>
    </row>
    <row r="109" spans="1:7" x14ac:dyDescent="0.25">
      <c r="A109" t="s">
        <v>6</v>
      </c>
      <c r="B109">
        <v>14</v>
      </c>
      <c r="C109" t="s">
        <v>7</v>
      </c>
      <c r="D109" t="s">
        <v>8</v>
      </c>
      <c r="E109">
        <v>1000000</v>
      </c>
      <c r="F109">
        <v>26.33</v>
      </c>
      <c r="G109">
        <v>24.58</v>
      </c>
    </row>
    <row r="110" spans="1:7" x14ac:dyDescent="0.25">
      <c r="A110" t="s">
        <v>6</v>
      </c>
      <c r="B110">
        <v>14</v>
      </c>
      <c r="C110" t="s">
        <v>7</v>
      </c>
      <c r="D110" t="s">
        <v>8</v>
      </c>
      <c r="E110">
        <v>1000000</v>
      </c>
      <c r="F110">
        <v>23.76</v>
      </c>
      <c r="G110">
        <v>29.13</v>
      </c>
    </row>
    <row r="111" spans="1:7" x14ac:dyDescent="0.25">
      <c r="A111" t="s">
        <v>6</v>
      </c>
      <c r="B111">
        <v>14</v>
      </c>
      <c r="C111" t="s">
        <v>7</v>
      </c>
      <c r="D111" t="s">
        <v>8</v>
      </c>
      <c r="E111">
        <v>1000000</v>
      </c>
      <c r="F111">
        <v>23.89</v>
      </c>
      <c r="G111">
        <v>23.38</v>
      </c>
    </row>
    <row r="112" spans="1:7" x14ac:dyDescent="0.25">
      <c r="A112" t="s">
        <v>6</v>
      </c>
      <c r="B112">
        <v>14</v>
      </c>
      <c r="C112" t="s">
        <v>7</v>
      </c>
      <c r="D112" t="s">
        <v>8</v>
      </c>
      <c r="E112">
        <v>1000000</v>
      </c>
      <c r="F112">
        <v>23.39</v>
      </c>
      <c r="G112">
        <v>29.04</v>
      </c>
    </row>
    <row r="113" spans="1:7" x14ac:dyDescent="0.25">
      <c r="A113" t="s">
        <v>6</v>
      </c>
      <c r="B113">
        <v>14</v>
      </c>
      <c r="C113" t="s">
        <v>7</v>
      </c>
      <c r="D113" t="s">
        <v>8</v>
      </c>
      <c r="E113">
        <v>1000000</v>
      </c>
      <c r="F113">
        <v>20.62</v>
      </c>
      <c r="G113">
        <v>26.82</v>
      </c>
    </row>
    <row r="114" spans="1:7" x14ac:dyDescent="0.25">
      <c r="A114" t="s">
        <v>6</v>
      </c>
      <c r="B114">
        <v>14</v>
      </c>
      <c r="C114" t="s">
        <v>7</v>
      </c>
      <c r="D114" t="s">
        <v>8</v>
      </c>
      <c r="E114">
        <v>1000000</v>
      </c>
      <c r="F114">
        <v>23.46</v>
      </c>
      <c r="G114">
        <v>26.35</v>
      </c>
    </row>
    <row r="115" spans="1:7" x14ac:dyDescent="0.25">
      <c r="A115" t="s">
        <v>6</v>
      </c>
      <c r="B115">
        <v>14</v>
      </c>
      <c r="C115" t="s">
        <v>7</v>
      </c>
      <c r="D115" t="s">
        <v>8</v>
      </c>
      <c r="E115">
        <v>1000000</v>
      </c>
      <c r="F115">
        <v>23.59</v>
      </c>
      <c r="G115">
        <v>25.68</v>
      </c>
    </row>
    <row r="116" spans="1:7" x14ac:dyDescent="0.25">
      <c r="A116" t="s">
        <v>6</v>
      </c>
      <c r="B116">
        <v>14</v>
      </c>
      <c r="C116" t="s">
        <v>7</v>
      </c>
      <c r="D116" t="s">
        <v>8</v>
      </c>
      <c r="E116">
        <v>1000000</v>
      </c>
      <c r="F116">
        <v>27.19</v>
      </c>
      <c r="G116">
        <v>27.1</v>
      </c>
    </row>
    <row r="117" spans="1:7" x14ac:dyDescent="0.25">
      <c r="A117" t="s">
        <v>6</v>
      </c>
      <c r="B117">
        <v>14</v>
      </c>
      <c r="C117" t="s">
        <v>7</v>
      </c>
      <c r="D117" t="s">
        <v>8</v>
      </c>
      <c r="E117">
        <v>1000000</v>
      </c>
      <c r="F117">
        <v>23.21</v>
      </c>
      <c r="G117">
        <v>26.44</v>
      </c>
    </row>
    <row r="118" spans="1:7" x14ac:dyDescent="0.25">
      <c r="A118" t="s">
        <v>6</v>
      </c>
      <c r="B118">
        <v>14</v>
      </c>
      <c r="C118" t="s">
        <v>7</v>
      </c>
      <c r="D118" t="s">
        <v>8</v>
      </c>
      <c r="E118">
        <v>1000000</v>
      </c>
      <c r="F118">
        <v>23.95</v>
      </c>
      <c r="G118">
        <v>28.15</v>
      </c>
    </row>
    <row r="119" spans="1:7" x14ac:dyDescent="0.25">
      <c r="A119" t="s">
        <v>6</v>
      </c>
      <c r="B119">
        <v>14</v>
      </c>
      <c r="C119" t="s">
        <v>7</v>
      </c>
      <c r="D119" t="s">
        <v>8</v>
      </c>
      <c r="E119">
        <v>1000000</v>
      </c>
      <c r="F119">
        <v>23.45</v>
      </c>
      <c r="G119">
        <v>26.67</v>
      </c>
    </row>
    <row r="120" spans="1:7" x14ac:dyDescent="0.25">
      <c r="A120" t="s">
        <v>6</v>
      </c>
      <c r="B120">
        <v>14</v>
      </c>
      <c r="C120" t="s">
        <v>7</v>
      </c>
      <c r="D120" t="s">
        <v>8</v>
      </c>
      <c r="E120">
        <v>1000000</v>
      </c>
      <c r="F120">
        <v>21.75</v>
      </c>
      <c r="G120">
        <v>26.73</v>
      </c>
    </row>
    <row r="121" spans="1:7" x14ac:dyDescent="0.25">
      <c r="A121" t="s">
        <v>6</v>
      </c>
      <c r="B121">
        <v>14</v>
      </c>
      <c r="C121" t="s">
        <v>7</v>
      </c>
      <c r="D121" t="s">
        <v>8</v>
      </c>
      <c r="E121">
        <v>1000000</v>
      </c>
      <c r="F121">
        <v>25.21</v>
      </c>
      <c r="G121">
        <v>25.95</v>
      </c>
    </row>
    <row r="122" spans="1:7" x14ac:dyDescent="0.25">
      <c r="A122" t="s">
        <v>6</v>
      </c>
      <c r="B122">
        <v>14</v>
      </c>
      <c r="C122" t="s">
        <v>7</v>
      </c>
      <c r="D122" t="s">
        <v>8</v>
      </c>
      <c r="E122">
        <v>1000000</v>
      </c>
      <c r="F122">
        <v>24.63</v>
      </c>
      <c r="G122">
        <v>26.41</v>
      </c>
    </row>
    <row r="123" spans="1:7" x14ac:dyDescent="0.25">
      <c r="A123" t="s">
        <v>6</v>
      </c>
      <c r="B123">
        <v>14</v>
      </c>
      <c r="C123" t="s">
        <v>7</v>
      </c>
      <c r="D123" t="s">
        <v>8</v>
      </c>
      <c r="E123">
        <v>1000000</v>
      </c>
      <c r="F123">
        <v>24.69</v>
      </c>
      <c r="G123">
        <v>26.96</v>
      </c>
    </row>
    <row r="124" spans="1:7" x14ac:dyDescent="0.25">
      <c r="A124" t="s">
        <v>6</v>
      </c>
      <c r="B124">
        <v>14</v>
      </c>
      <c r="C124" t="s">
        <v>7</v>
      </c>
      <c r="D124" t="s">
        <v>8</v>
      </c>
      <c r="E124">
        <v>1000000</v>
      </c>
      <c r="F124">
        <v>22.14</v>
      </c>
      <c r="G124">
        <v>23.93</v>
      </c>
    </row>
    <row r="125" spans="1:7" x14ac:dyDescent="0.25">
      <c r="A125" t="s">
        <v>6</v>
      </c>
      <c r="B125">
        <v>14</v>
      </c>
      <c r="C125" t="s">
        <v>7</v>
      </c>
      <c r="D125" t="s">
        <v>8</v>
      </c>
      <c r="E125">
        <v>1000000</v>
      </c>
      <c r="F125">
        <v>25.6</v>
      </c>
      <c r="G125">
        <v>24.48</v>
      </c>
    </row>
    <row r="126" spans="1:7" x14ac:dyDescent="0.25">
      <c r="A126" t="s">
        <v>6</v>
      </c>
      <c r="B126">
        <v>14</v>
      </c>
      <c r="C126" t="s">
        <v>7</v>
      </c>
      <c r="D126" t="s">
        <v>8</v>
      </c>
      <c r="E126">
        <v>1000000</v>
      </c>
      <c r="F126">
        <v>21.4</v>
      </c>
      <c r="G126">
        <v>27.61</v>
      </c>
    </row>
    <row r="127" spans="1:7" x14ac:dyDescent="0.25">
      <c r="A127" t="s">
        <v>6</v>
      </c>
      <c r="B127">
        <v>14</v>
      </c>
      <c r="C127" t="s">
        <v>7</v>
      </c>
      <c r="D127" t="s">
        <v>8</v>
      </c>
      <c r="E127">
        <v>1000000</v>
      </c>
      <c r="F127">
        <v>24.38</v>
      </c>
      <c r="G127">
        <v>26.76</v>
      </c>
    </row>
    <row r="128" spans="1:7" x14ac:dyDescent="0.25">
      <c r="A128" t="s">
        <v>6</v>
      </c>
      <c r="B128">
        <v>14</v>
      </c>
      <c r="C128" t="s">
        <v>7</v>
      </c>
      <c r="D128" t="s">
        <v>8</v>
      </c>
      <c r="E128">
        <v>1000000</v>
      </c>
      <c r="F128">
        <v>26.79</v>
      </c>
      <c r="G128">
        <v>26.22</v>
      </c>
    </row>
    <row r="129" spans="1:7" x14ac:dyDescent="0.25">
      <c r="A129" t="s">
        <v>6</v>
      </c>
      <c r="B129">
        <v>14</v>
      </c>
      <c r="C129" t="s">
        <v>7</v>
      </c>
      <c r="D129" t="s">
        <v>8</v>
      </c>
      <c r="E129">
        <v>1000000</v>
      </c>
      <c r="F129">
        <v>22.01</v>
      </c>
      <c r="G129">
        <v>26.53</v>
      </c>
    </row>
    <row r="130" spans="1:7" x14ac:dyDescent="0.25">
      <c r="A130" t="s">
        <v>6</v>
      </c>
      <c r="B130">
        <v>14</v>
      </c>
      <c r="C130" t="s">
        <v>7</v>
      </c>
      <c r="D130" t="s">
        <v>8</v>
      </c>
      <c r="E130">
        <v>1000000</v>
      </c>
      <c r="F130">
        <v>22.65</v>
      </c>
      <c r="G130">
        <v>27.02</v>
      </c>
    </row>
    <row r="131" spans="1:7" x14ac:dyDescent="0.25">
      <c r="A131" t="s">
        <v>6</v>
      </c>
      <c r="B131">
        <v>14</v>
      </c>
      <c r="C131" t="s">
        <v>7</v>
      </c>
      <c r="D131" t="s">
        <v>8</v>
      </c>
      <c r="E131">
        <v>1000000</v>
      </c>
      <c r="F131">
        <v>23.65</v>
      </c>
      <c r="G131">
        <v>25.69</v>
      </c>
    </row>
    <row r="132" spans="1:7" x14ac:dyDescent="0.25">
      <c r="A132" t="s">
        <v>6</v>
      </c>
      <c r="B132">
        <v>14</v>
      </c>
      <c r="C132" t="s">
        <v>7</v>
      </c>
      <c r="D132" t="s">
        <v>8</v>
      </c>
      <c r="E132">
        <v>1000000</v>
      </c>
      <c r="F132">
        <v>22.74</v>
      </c>
      <c r="G132">
        <v>25.33</v>
      </c>
    </row>
    <row r="133" spans="1:7" x14ac:dyDescent="0.25">
      <c r="A133" t="s">
        <v>6</v>
      </c>
      <c r="B133">
        <v>14</v>
      </c>
      <c r="C133" t="s">
        <v>7</v>
      </c>
      <c r="D133" t="s">
        <v>8</v>
      </c>
      <c r="E133">
        <v>1000000</v>
      </c>
      <c r="F133">
        <v>21.17</v>
      </c>
      <c r="G133">
        <v>26.79</v>
      </c>
    </row>
    <row r="134" spans="1:7" x14ac:dyDescent="0.25">
      <c r="A134" t="s">
        <v>6</v>
      </c>
      <c r="B134">
        <v>14</v>
      </c>
      <c r="C134" t="s">
        <v>7</v>
      </c>
      <c r="D134" t="s">
        <v>8</v>
      </c>
      <c r="E134">
        <v>1000000</v>
      </c>
      <c r="F134">
        <v>23.6</v>
      </c>
      <c r="G134">
        <v>25.03</v>
      </c>
    </row>
    <row r="135" spans="1:7" x14ac:dyDescent="0.25">
      <c r="A135" t="s">
        <v>6</v>
      </c>
      <c r="B135">
        <v>14</v>
      </c>
      <c r="C135" t="s">
        <v>7</v>
      </c>
      <c r="D135" t="s">
        <v>8</v>
      </c>
      <c r="E135">
        <v>1000000</v>
      </c>
      <c r="F135">
        <v>21.91</v>
      </c>
      <c r="G135">
        <v>27.11</v>
      </c>
    </row>
    <row r="136" spans="1:7" x14ac:dyDescent="0.25">
      <c r="A136" t="s">
        <v>6</v>
      </c>
      <c r="B136">
        <v>14</v>
      </c>
      <c r="C136" t="s">
        <v>7</v>
      </c>
      <c r="D136" t="s">
        <v>8</v>
      </c>
      <c r="E136">
        <v>1000000</v>
      </c>
      <c r="F136">
        <v>24.21</v>
      </c>
      <c r="G136">
        <v>23.95</v>
      </c>
    </row>
    <row r="137" spans="1:7" x14ac:dyDescent="0.25">
      <c r="A137" t="s">
        <v>6</v>
      </c>
      <c r="B137">
        <v>14</v>
      </c>
      <c r="C137" t="s">
        <v>7</v>
      </c>
      <c r="D137" t="s">
        <v>8</v>
      </c>
      <c r="E137">
        <v>1000000</v>
      </c>
      <c r="F137">
        <v>22.12</v>
      </c>
      <c r="G137">
        <v>28.04</v>
      </c>
    </row>
    <row r="138" spans="1:7" x14ac:dyDescent="0.25">
      <c r="A138" t="s">
        <v>6</v>
      </c>
      <c r="B138">
        <v>14</v>
      </c>
      <c r="C138" t="s">
        <v>7</v>
      </c>
      <c r="D138" t="s">
        <v>8</v>
      </c>
      <c r="E138">
        <v>1000000</v>
      </c>
      <c r="F138">
        <v>25.82</v>
      </c>
      <c r="G138">
        <v>27.21</v>
      </c>
    </row>
    <row r="139" spans="1:7" x14ac:dyDescent="0.25">
      <c r="A139" t="s">
        <v>6</v>
      </c>
      <c r="B139">
        <v>14</v>
      </c>
      <c r="C139" t="s">
        <v>7</v>
      </c>
      <c r="D139" t="s">
        <v>8</v>
      </c>
      <c r="E139">
        <v>1000000</v>
      </c>
      <c r="F139">
        <v>22.33</v>
      </c>
      <c r="G139">
        <v>26.88</v>
      </c>
    </row>
    <row r="140" spans="1:7" x14ac:dyDescent="0.25">
      <c r="A140" t="s">
        <v>6</v>
      </c>
      <c r="B140">
        <v>14</v>
      </c>
      <c r="C140" t="s">
        <v>7</v>
      </c>
      <c r="D140" t="s">
        <v>8</v>
      </c>
      <c r="E140">
        <v>1000000</v>
      </c>
      <c r="F140">
        <v>23.02</v>
      </c>
      <c r="G140">
        <v>27.97</v>
      </c>
    </row>
    <row r="141" spans="1:7" x14ac:dyDescent="0.25">
      <c r="A141" t="s">
        <v>6</v>
      </c>
      <c r="B141">
        <v>14</v>
      </c>
      <c r="C141" t="s">
        <v>7</v>
      </c>
      <c r="D141" t="s">
        <v>8</v>
      </c>
      <c r="E141">
        <v>1000000</v>
      </c>
      <c r="F141">
        <v>24.72</v>
      </c>
      <c r="G141">
        <v>29</v>
      </c>
    </row>
    <row r="142" spans="1:7" x14ac:dyDescent="0.25">
      <c r="A142" t="s">
        <v>6</v>
      </c>
      <c r="B142">
        <v>14</v>
      </c>
      <c r="C142" t="s">
        <v>7</v>
      </c>
      <c r="D142" t="s">
        <v>8</v>
      </c>
      <c r="E142">
        <v>1000000</v>
      </c>
      <c r="F142">
        <v>21.65</v>
      </c>
      <c r="G142">
        <v>28.02</v>
      </c>
    </row>
    <row r="143" spans="1:7" x14ac:dyDescent="0.25">
      <c r="A143" t="s">
        <v>6</v>
      </c>
      <c r="B143">
        <v>14</v>
      </c>
      <c r="C143" t="s">
        <v>7</v>
      </c>
      <c r="D143" t="s">
        <v>8</v>
      </c>
      <c r="E143">
        <v>1000000</v>
      </c>
      <c r="F143">
        <v>23.84</v>
      </c>
      <c r="G143">
        <v>23.74</v>
      </c>
    </row>
    <row r="144" spans="1:7" x14ac:dyDescent="0.25">
      <c r="A144" t="s">
        <v>6</v>
      </c>
      <c r="B144">
        <v>14</v>
      </c>
      <c r="C144" t="s">
        <v>7</v>
      </c>
      <c r="D144" t="s">
        <v>8</v>
      </c>
      <c r="E144">
        <v>1000000</v>
      </c>
      <c r="F144">
        <v>25.46</v>
      </c>
      <c r="G144">
        <v>24.58</v>
      </c>
    </row>
    <row r="145" spans="1:7" x14ac:dyDescent="0.25">
      <c r="A145" t="s">
        <v>6</v>
      </c>
      <c r="B145">
        <v>14</v>
      </c>
      <c r="C145" t="s">
        <v>7</v>
      </c>
      <c r="D145" t="s">
        <v>8</v>
      </c>
      <c r="E145">
        <v>1000000</v>
      </c>
      <c r="F145">
        <v>21.09</v>
      </c>
      <c r="G145">
        <v>25.56</v>
      </c>
    </row>
    <row r="146" spans="1:7" x14ac:dyDescent="0.25">
      <c r="A146" t="s">
        <v>6</v>
      </c>
      <c r="B146">
        <v>14</v>
      </c>
      <c r="C146" t="s">
        <v>7</v>
      </c>
      <c r="D146" t="s">
        <v>8</v>
      </c>
      <c r="E146">
        <v>1000000</v>
      </c>
      <c r="F146">
        <v>23.78</v>
      </c>
      <c r="G146">
        <v>26.54</v>
      </c>
    </row>
    <row r="147" spans="1:7" x14ac:dyDescent="0.25">
      <c r="A147" t="s">
        <v>6</v>
      </c>
      <c r="B147">
        <v>14</v>
      </c>
      <c r="C147" t="s">
        <v>7</v>
      </c>
      <c r="D147" t="s">
        <v>8</v>
      </c>
      <c r="E147">
        <v>1000000</v>
      </c>
      <c r="F147">
        <v>23.89</v>
      </c>
      <c r="G147">
        <v>27.28</v>
      </c>
    </row>
    <row r="148" spans="1:7" x14ac:dyDescent="0.25">
      <c r="A148" t="s">
        <v>6</v>
      </c>
      <c r="B148">
        <v>14</v>
      </c>
      <c r="C148" t="s">
        <v>7</v>
      </c>
      <c r="D148" t="s">
        <v>8</v>
      </c>
      <c r="E148">
        <v>1000000</v>
      </c>
      <c r="F148">
        <v>24.67</v>
      </c>
      <c r="G148">
        <v>25.41</v>
      </c>
    </row>
    <row r="149" spans="1:7" x14ac:dyDescent="0.25">
      <c r="A149" t="s">
        <v>6</v>
      </c>
      <c r="B149">
        <v>14</v>
      </c>
      <c r="C149" t="s">
        <v>7</v>
      </c>
      <c r="D149" t="s">
        <v>8</v>
      </c>
      <c r="E149">
        <v>1000000</v>
      </c>
      <c r="F149">
        <v>21.64</v>
      </c>
      <c r="G149">
        <v>26.78</v>
      </c>
    </row>
    <row r="150" spans="1:7" x14ac:dyDescent="0.25">
      <c r="A150" t="s">
        <v>6</v>
      </c>
      <c r="B150">
        <v>14</v>
      </c>
      <c r="C150" t="s">
        <v>7</v>
      </c>
      <c r="D150" t="s">
        <v>8</v>
      </c>
      <c r="E150">
        <v>1000000</v>
      </c>
      <c r="F150">
        <v>21.52</v>
      </c>
      <c r="G150">
        <v>25.37</v>
      </c>
    </row>
    <row r="151" spans="1:7" x14ac:dyDescent="0.25">
      <c r="A151" t="s">
        <v>6</v>
      </c>
      <c r="B151">
        <v>14</v>
      </c>
      <c r="C151" t="s">
        <v>7</v>
      </c>
      <c r="D151" t="s">
        <v>8</v>
      </c>
      <c r="E151">
        <v>1000000</v>
      </c>
      <c r="F151">
        <v>24.28</v>
      </c>
      <c r="G151">
        <v>25.58</v>
      </c>
    </row>
    <row r="152" spans="1:7" x14ac:dyDescent="0.25">
      <c r="A152" t="s">
        <v>6</v>
      </c>
      <c r="B152">
        <v>14</v>
      </c>
      <c r="C152" t="s">
        <v>7</v>
      </c>
      <c r="D152" t="s">
        <v>8</v>
      </c>
      <c r="E152">
        <v>1000000</v>
      </c>
      <c r="F152">
        <v>23.95</v>
      </c>
      <c r="G152">
        <v>24.39</v>
      </c>
    </row>
    <row r="153" spans="1:7" x14ac:dyDescent="0.25">
      <c r="A153" t="s">
        <v>6</v>
      </c>
      <c r="B153">
        <v>14</v>
      </c>
      <c r="C153" t="s">
        <v>7</v>
      </c>
      <c r="D153" t="s">
        <v>8</v>
      </c>
      <c r="E153">
        <v>1000000</v>
      </c>
      <c r="F153">
        <v>23.88</v>
      </c>
      <c r="G153">
        <v>25.12</v>
      </c>
    </row>
    <row r="154" spans="1:7" x14ac:dyDescent="0.25">
      <c r="A154" t="s">
        <v>6</v>
      </c>
      <c r="B154">
        <v>14</v>
      </c>
      <c r="C154" t="s">
        <v>7</v>
      </c>
      <c r="D154" t="s">
        <v>8</v>
      </c>
      <c r="E154">
        <v>1000000</v>
      </c>
      <c r="F154">
        <v>24.02</v>
      </c>
      <c r="G154">
        <v>24.47</v>
      </c>
    </row>
    <row r="155" spans="1:7" x14ac:dyDescent="0.25">
      <c r="A155" t="s">
        <v>6</v>
      </c>
      <c r="B155">
        <v>14</v>
      </c>
      <c r="C155" t="s">
        <v>7</v>
      </c>
      <c r="D155" t="s">
        <v>8</v>
      </c>
      <c r="E155">
        <v>1000000</v>
      </c>
      <c r="F155">
        <v>22.48</v>
      </c>
      <c r="G155">
        <v>25.04</v>
      </c>
    </row>
    <row r="156" spans="1:7" x14ac:dyDescent="0.25">
      <c r="A156" t="s">
        <v>6</v>
      </c>
      <c r="B156">
        <v>14</v>
      </c>
      <c r="C156" t="s">
        <v>7</v>
      </c>
      <c r="D156" t="s">
        <v>8</v>
      </c>
      <c r="E156">
        <v>1000000</v>
      </c>
      <c r="F156">
        <v>23.85</v>
      </c>
      <c r="G156">
        <v>28.08</v>
      </c>
    </row>
    <row r="157" spans="1:7" x14ac:dyDescent="0.25">
      <c r="A157" t="s">
        <v>6</v>
      </c>
      <c r="B157">
        <v>14</v>
      </c>
      <c r="C157" t="s">
        <v>7</v>
      </c>
      <c r="D157" t="s">
        <v>8</v>
      </c>
      <c r="E157">
        <v>1000000</v>
      </c>
      <c r="F157">
        <v>23.94</v>
      </c>
      <c r="G157">
        <v>25.08</v>
      </c>
    </row>
    <row r="158" spans="1:7" x14ac:dyDescent="0.25">
      <c r="A158" t="s">
        <v>6</v>
      </c>
      <c r="B158">
        <v>14</v>
      </c>
      <c r="C158" t="s">
        <v>7</v>
      </c>
      <c r="D158" t="s">
        <v>8</v>
      </c>
      <c r="E158">
        <v>1000000</v>
      </c>
      <c r="F158">
        <v>22.43</v>
      </c>
      <c r="G158">
        <v>30.45</v>
      </c>
    </row>
    <row r="159" spans="1:7" x14ac:dyDescent="0.25">
      <c r="A159" t="s">
        <v>6</v>
      </c>
      <c r="B159">
        <v>14</v>
      </c>
      <c r="C159" t="s">
        <v>7</v>
      </c>
      <c r="D159" t="s">
        <v>8</v>
      </c>
      <c r="E159">
        <v>1000000</v>
      </c>
      <c r="F159">
        <v>26.3</v>
      </c>
      <c r="G159">
        <v>27.24</v>
      </c>
    </row>
    <row r="160" spans="1:7" x14ac:dyDescent="0.25">
      <c r="A160" t="s">
        <v>6</v>
      </c>
      <c r="B160">
        <v>14</v>
      </c>
      <c r="C160" t="s">
        <v>7</v>
      </c>
      <c r="D160" t="s">
        <v>8</v>
      </c>
      <c r="E160">
        <v>1000000</v>
      </c>
      <c r="F160">
        <v>24.21</v>
      </c>
      <c r="G160">
        <v>26.78</v>
      </c>
    </row>
    <row r="161" spans="1:7" x14ac:dyDescent="0.25">
      <c r="A161" t="s">
        <v>6</v>
      </c>
      <c r="B161">
        <v>14</v>
      </c>
      <c r="C161" t="s">
        <v>7</v>
      </c>
      <c r="D161" t="s">
        <v>8</v>
      </c>
      <c r="E161">
        <v>1000000</v>
      </c>
      <c r="F161">
        <v>21.71</v>
      </c>
      <c r="G161">
        <v>25.21</v>
      </c>
    </row>
    <row r="162" spans="1:7" x14ac:dyDescent="0.25">
      <c r="A162" t="s">
        <v>6</v>
      </c>
      <c r="B162">
        <v>14</v>
      </c>
      <c r="C162" t="s">
        <v>7</v>
      </c>
      <c r="D162" t="s">
        <v>8</v>
      </c>
      <c r="E162">
        <v>1000000</v>
      </c>
      <c r="F162">
        <v>24.48</v>
      </c>
      <c r="G162">
        <v>27.55</v>
      </c>
    </row>
    <row r="163" spans="1:7" x14ac:dyDescent="0.25">
      <c r="A163" t="s">
        <v>6</v>
      </c>
      <c r="B163">
        <v>14</v>
      </c>
      <c r="C163" t="s">
        <v>7</v>
      </c>
      <c r="D163" t="s">
        <v>8</v>
      </c>
      <c r="E163">
        <v>1000000</v>
      </c>
      <c r="F163">
        <v>22.04</v>
      </c>
      <c r="G163">
        <v>25.64</v>
      </c>
    </row>
    <row r="164" spans="1:7" x14ac:dyDescent="0.25">
      <c r="A164" t="s">
        <v>6</v>
      </c>
      <c r="B164">
        <v>14</v>
      </c>
      <c r="C164" t="s">
        <v>7</v>
      </c>
      <c r="D164" t="s">
        <v>8</v>
      </c>
      <c r="E164">
        <v>1000000</v>
      </c>
      <c r="F164">
        <v>24.68</v>
      </c>
      <c r="G164">
        <v>26.68</v>
      </c>
    </row>
    <row r="165" spans="1:7" x14ac:dyDescent="0.25">
      <c r="A165" t="s">
        <v>6</v>
      </c>
      <c r="B165">
        <v>14</v>
      </c>
      <c r="C165" t="s">
        <v>7</v>
      </c>
      <c r="D165" t="s">
        <v>8</v>
      </c>
      <c r="E165">
        <v>1000000</v>
      </c>
      <c r="F165">
        <v>25.24</v>
      </c>
      <c r="G165">
        <v>30.34</v>
      </c>
    </row>
    <row r="166" spans="1:7" x14ac:dyDescent="0.25">
      <c r="A166" t="s">
        <v>6</v>
      </c>
      <c r="B166">
        <v>14</v>
      </c>
      <c r="C166" t="s">
        <v>7</v>
      </c>
      <c r="D166" t="s">
        <v>8</v>
      </c>
      <c r="E166">
        <v>1000000</v>
      </c>
      <c r="F166">
        <v>22.27</v>
      </c>
      <c r="G166">
        <v>26.36</v>
      </c>
    </row>
    <row r="167" spans="1:7" x14ac:dyDescent="0.25">
      <c r="A167" t="s">
        <v>6</v>
      </c>
      <c r="B167">
        <v>14</v>
      </c>
      <c r="C167" t="s">
        <v>7</v>
      </c>
      <c r="D167" t="s">
        <v>8</v>
      </c>
      <c r="E167">
        <v>1000000</v>
      </c>
      <c r="F167">
        <v>24.95</v>
      </c>
      <c r="G167">
        <v>28.22</v>
      </c>
    </row>
    <row r="168" spans="1:7" x14ac:dyDescent="0.25">
      <c r="A168" t="s">
        <v>6</v>
      </c>
      <c r="B168">
        <v>14</v>
      </c>
      <c r="C168" t="s">
        <v>7</v>
      </c>
      <c r="D168" t="s">
        <v>8</v>
      </c>
      <c r="E168">
        <v>1000000</v>
      </c>
      <c r="F168">
        <v>24.12</v>
      </c>
      <c r="G168">
        <v>25.45</v>
      </c>
    </row>
    <row r="169" spans="1:7" x14ac:dyDescent="0.25">
      <c r="A169" t="s">
        <v>6</v>
      </c>
      <c r="B169">
        <v>14</v>
      </c>
      <c r="C169" t="s">
        <v>7</v>
      </c>
      <c r="D169" t="s">
        <v>8</v>
      </c>
      <c r="E169">
        <v>1000000</v>
      </c>
      <c r="F169">
        <v>24.73</v>
      </c>
      <c r="G169">
        <v>26.45</v>
      </c>
    </row>
    <row r="170" spans="1:7" x14ac:dyDescent="0.25">
      <c r="A170" t="s">
        <v>6</v>
      </c>
      <c r="B170">
        <v>14</v>
      </c>
      <c r="C170" t="s">
        <v>7</v>
      </c>
      <c r="D170" t="s">
        <v>8</v>
      </c>
      <c r="E170">
        <v>1000000</v>
      </c>
      <c r="F170">
        <v>26.35</v>
      </c>
      <c r="G170">
        <v>29.16</v>
      </c>
    </row>
    <row r="171" spans="1:7" x14ac:dyDescent="0.25">
      <c r="A171" t="s">
        <v>6</v>
      </c>
      <c r="B171">
        <v>14</v>
      </c>
      <c r="C171" t="s">
        <v>7</v>
      </c>
      <c r="D171" t="s">
        <v>8</v>
      </c>
      <c r="E171">
        <v>1000000</v>
      </c>
      <c r="F171">
        <v>23.13</v>
      </c>
      <c r="G171">
        <v>25.56</v>
      </c>
    </row>
    <row r="172" spans="1:7" x14ac:dyDescent="0.25">
      <c r="A172" t="s">
        <v>6</v>
      </c>
      <c r="B172">
        <v>14</v>
      </c>
      <c r="C172" t="s">
        <v>7</v>
      </c>
      <c r="D172" t="s">
        <v>8</v>
      </c>
      <c r="E172">
        <v>1000000</v>
      </c>
      <c r="F172">
        <v>22.37</v>
      </c>
      <c r="G172">
        <v>29.22</v>
      </c>
    </row>
    <row r="173" spans="1:7" x14ac:dyDescent="0.25">
      <c r="A173" t="s">
        <v>6</v>
      </c>
      <c r="B173">
        <v>14</v>
      </c>
      <c r="C173" t="s">
        <v>7</v>
      </c>
      <c r="D173" t="s">
        <v>8</v>
      </c>
      <c r="E173">
        <v>1000000</v>
      </c>
      <c r="F173">
        <v>22.17</v>
      </c>
      <c r="G173">
        <v>27.56</v>
      </c>
    </row>
    <row r="174" spans="1:7" x14ac:dyDescent="0.25">
      <c r="A174" t="s">
        <v>6</v>
      </c>
      <c r="B174">
        <v>14</v>
      </c>
      <c r="C174" t="s">
        <v>7</v>
      </c>
      <c r="D174" t="s">
        <v>8</v>
      </c>
      <c r="E174">
        <v>1000000</v>
      </c>
      <c r="F174">
        <v>22.28</v>
      </c>
      <c r="G174">
        <v>25.66</v>
      </c>
    </row>
    <row r="175" spans="1:7" x14ac:dyDescent="0.25">
      <c r="A175" t="s">
        <v>6</v>
      </c>
      <c r="B175">
        <v>14</v>
      </c>
      <c r="C175" t="s">
        <v>7</v>
      </c>
      <c r="D175" t="s">
        <v>8</v>
      </c>
      <c r="E175">
        <v>1000000</v>
      </c>
      <c r="F175">
        <v>23.38</v>
      </c>
      <c r="G175">
        <v>27.45</v>
      </c>
    </row>
    <row r="176" spans="1:7" x14ac:dyDescent="0.25">
      <c r="A176" t="s">
        <v>6</v>
      </c>
      <c r="B176">
        <v>14</v>
      </c>
      <c r="C176" t="s">
        <v>7</v>
      </c>
      <c r="D176" t="s">
        <v>8</v>
      </c>
      <c r="E176">
        <v>1000000</v>
      </c>
      <c r="F176">
        <v>24.01</v>
      </c>
      <c r="G176">
        <v>27.96</v>
      </c>
    </row>
    <row r="177" spans="1:7" x14ac:dyDescent="0.25">
      <c r="A177" t="s">
        <v>6</v>
      </c>
      <c r="B177">
        <v>14</v>
      </c>
      <c r="C177" t="s">
        <v>7</v>
      </c>
      <c r="D177" t="s">
        <v>8</v>
      </c>
      <c r="E177">
        <v>1000000</v>
      </c>
      <c r="F177">
        <v>23.92</v>
      </c>
      <c r="G177">
        <v>27.43</v>
      </c>
    </row>
    <row r="178" spans="1:7" x14ac:dyDescent="0.25">
      <c r="A178" t="s">
        <v>6</v>
      </c>
      <c r="B178">
        <v>14</v>
      </c>
      <c r="C178" t="s">
        <v>7</v>
      </c>
      <c r="D178" t="s">
        <v>8</v>
      </c>
      <c r="E178">
        <v>1000000</v>
      </c>
      <c r="F178">
        <v>24.74</v>
      </c>
      <c r="G178">
        <v>24.14</v>
      </c>
    </row>
    <row r="179" spans="1:7" x14ac:dyDescent="0.25">
      <c r="A179" t="s">
        <v>6</v>
      </c>
      <c r="B179">
        <v>14</v>
      </c>
      <c r="C179" t="s">
        <v>7</v>
      </c>
      <c r="D179" t="s">
        <v>8</v>
      </c>
      <c r="E179">
        <v>1000000</v>
      </c>
      <c r="F179">
        <v>23.52</v>
      </c>
      <c r="G179">
        <v>25.41</v>
      </c>
    </row>
    <row r="180" spans="1:7" x14ac:dyDescent="0.25">
      <c r="A180" t="s">
        <v>6</v>
      </c>
      <c r="B180">
        <v>14</v>
      </c>
      <c r="C180" t="s">
        <v>7</v>
      </c>
      <c r="D180" t="s">
        <v>8</v>
      </c>
      <c r="E180">
        <v>1000000</v>
      </c>
      <c r="F180">
        <v>25.68</v>
      </c>
      <c r="G180">
        <v>26.13</v>
      </c>
    </row>
    <row r="181" spans="1:7" x14ac:dyDescent="0.25">
      <c r="A181" t="s">
        <v>6</v>
      </c>
      <c r="B181">
        <v>14</v>
      </c>
      <c r="C181" t="s">
        <v>7</v>
      </c>
      <c r="D181" t="s">
        <v>8</v>
      </c>
      <c r="E181">
        <v>1000000</v>
      </c>
      <c r="F181">
        <v>23.1</v>
      </c>
      <c r="G181">
        <v>26.39</v>
      </c>
    </row>
    <row r="182" spans="1:7" x14ac:dyDescent="0.25">
      <c r="A182" t="s">
        <v>6</v>
      </c>
      <c r="B182">
        <v>14</v>
      </c>
      <c r="C182" t="s">
        <v>7</v>
      </c>
      <c r="D182" t="s">
        <v>8</v>
      </c>
      <c r="E182">
        <v>1000000</v>
      </c>
      <c r="F182">
        <v>27.58</v>
      </c>
      <c r="G182">
        <v>27.43</v>
      </c>
    </row>
    <row r="183" spans="1:7" x14ac:dyDescent="0.25">
      <c r="A183" t="s">
        <v>6</v>
      </c>
      <c r="B183">
        <v>14</v>
      </c>
      <c r="C183" t="s">
        <v>7</v>
      </c>
      <c r="D183" t="s">
        <v>8</v>
      </c>
      <c r="E183">
        <v>1000000</v>
      </c>
      <c r="F183">
        <v>24.44</v>
      </c>
      <c r="G183">
        <v>26.77</v>
      </c>
    </row>
    <row r="184" spans="1:7" x14ac:dyDescent="0.25">
      <c r="A184" t="s">
        <v>6</v>
      </c>
      <c r="B184">
        <v>14</v>
      </c>
      <c r="C184" t="s">
        <v>7</v>
      </c>
      <c r="D184" t="s">
        <v>8</v>
      </c>
      <c r="E184">
        <v>1000000</v>
      </c>
      <c r="F184">
        <v>22.21</v>
      </c>
      <c r="G184">
        <v>24.5</v>
      </c>
    </row>
    <row r="185" spans="1:7" x14ac:dyDescent="0.25">
      <c r="A185" t="s">
        <v>6</v>
      </c>
      <c r="B185">
        <v>14</v>
      </c>
      <c r="C185" t="s">
        <v>7</v>
      </c>
      <c r="D185" t="s">
        <v>8</v>
      </c>
      <c r="E185">
        <v>1000000</v>
      </c>
      <c r="F185">
        <v>21.89</v>
      </c>
      <c r="G185">
        <v>27.07</v>
      </c>
    </row>
    <row r="186" spans="1:7" x14ac:dyDescent="0.25">
      <c r="A186" t="s">
        <v>6</v>
      </c>
      <c r="B186">
        <v>14</v>
      </c>
      <c r="C186" t="s">
        <v>7</v>
      </c>
      <c r="D186" t="s">
        <v>8</v>
      </c>
      <c r="E186">
        <v>1000000</v>
      </c>
      <c r="F186">
        <v>24.22</v>
      </c>
      <c r="G186">
        <v>27.42</v>
      </c>
    </row>
    <row r="187" spans="1:7" x14ac:dyDescent="0.25">
      <c r="A187" t="s">
        <v>6</v>
      </c>
      <c r="B187">
        <v>14</v>
      </c>
      <c r="C187" t="s">
        <v>7</v>
      </c>
      <c r="D187" t="s">
        <v>8</v>
      </c>
      <c r="E187">
        <v>1000000</v>
      </c>
      <c r="F187">
        <v>23.16</v>
      </c>
      <c r="G187">
        <v>27.34</v>
      </c>
    </row>
    <row r="188" spans="1:7" x14ac:dyDescent="0.25">
      <c r="A188" t="s">
        <v>6</v>
      </c>
      <c r="B188">
        <v>14</v>
      </c>
      <c r="C188" t="s">
        <v>7</v>
      </c>
      <c r="D188" t="s">
        <v>8</v>
      </c>
      <c r="E188">
        <v>1000000</v>
      </c>
      <c r="F188">
        <v>24.57</v>
      </c>
      <c r="G188">
        <v>28.12</v>
      </c>
    </row>
    <row r="189" spans="1:7" x14ac:dyDescent="0.25">
      <c r="A189" t="s">
        <v>6</v>
      </c>
      <c r="B189">
        <v>14</v>
      </c>
      <c r="C189" t="s">
        <v>7</v>
      </c>
      <c r="D189" t="s">
        <v>8</v>
      </c>
      <c r="E189">
        <v>1000000</v>
      </c>
      <c r="F189">
        <v>24.21</v>
      </c>
      <c r="G189">
        <v>27.75</v>
      </c>
    </row>
    <row r="190" spans="1:7" x14ac:dyDescent="0.25">
      <c r="A190" t="s">
        <v>6</v>
      </c>
      <c r="B190">
        <v>14</v>
      </c>
      <c r="C190" t="s">
        <v>7</v>
      </c>
      <c r="D190" t="s">
        <v>8</v>
      </c>
      <c r="E190">
        <v>1000000</v>
      </c>
      <c r="F190">
        <v>23.39</v>
      </c>
      <c r="G190">
        <v>27.19</v>
      </c>
    </row>
    <row r="191" spans="1:7" x14ac:dyDescent="0.25">
      <c r="A191" t="s">
        <v>6</v>
      </c>
      <c r="B191">
        <v>14</v>
      </c>
      <c r="C191" t="s">
        <v>7</v>
      </c>
      <c r="D191" t="s">
        <v>8</v>
      </c>
      <c r="E191">
        <v>1000000</v>
      </c>
      <c r="F191">
        <v>22.23</v>
      </c>
      <c r="G191">
        <v>26.39</v>
      </c>
    </row>
    <row r="192" spans="1:7" x14ac:dyDescent="0.25">
      <c r="A192" t="s">
        <v>6</v>
      </c>
      <c r="B192">
        <v>14</v>
      </c>
      <c r="C192" t="s">
        <v>7</v>
      </c>
      <c r="D192" t="s">
        <v>8</v>
      </c>
      <c r="E192">
        <v>1000000</v>
      </c>
      <c r="F192">
        <v>21.23</v>
      </c>
      <c r="G192">
        <v>24.01</v>
      </c>
    </row>
    <row r="193" spans="1:7" x14ac:dyDescent="0.25">
      <c r="A193" t="s">
        <v>6</v>
      </c>
      <c r="B193">
        <v>14</v>
      </c>
      <c r="C193" t="s">
        <v>7</v>
      </c>
      <c r="D193" t="s">
        <v>8</v>
      </c>
      <c r="E193">
        <v>1000000</v>
      </c>
      <c r="F193">
        <v>22.83</v>
      </c>
      <c r="G193">
        <v>27.14</v>
      </c>
    </row>
    <row r="194" spans="1:7" x14ac:dyDescent="0.25">
      <c r="A194" t="s">
        <v>6</v>
      </c>
      <c r="B194">
        <v>14</v>
      </c>
      <c r="C194" t="s">
        <v>7</v>
      </c>
      <c r="D194" t="s">
        <v>8</v>
      </c>
      <c r="E194">
        <v>1000000</v>
      </c>
      <c r="F194">
        <v>24.78</v>
      </c>
      <c r="G194">
        <v>26.81</v>
      </c>
    </row>
    <row r="195" spans="1:7" x14ac:dyDescent="0.25">
      <c r="A195" t="s">
        <v>6</v>
      </c>
      <c r="B195">
        <v>14</v>
      </c>
      <c r="C195" t="s">
        <v>7</v>
      </c>
      <c r="D195" t="s">
        <v>8</v>
      </c>
      <c r="E195">
        <v>1000000</v>
      </c>
      <c r="F195">
        <v>23.82</v>
      </c>
      <c r="G195">
        <v>26.91</v>
      </c>
    </row>
    <row r="196" spans="1:7" x14ac:dyDescent="0.25">
      <c r="A196" t="s">
        <v>6</v>
      </c>
      <c r="B196">
        <v>14</v>
      </c>
      <c r="C196" t="s">
        <v>7</v>
      </c>
      <c r="D196" t="s">
        <v>8</v>
      </c>
      <c r="E196">
        <v>1000000</v>
      </c>
      <c r="F196">
        <v>21.63</v>
      </c>
      <c r="G196">
        <v>24.58</v>
      </c>
    </row>
    <row r="197" spans="1:7" x14ac:dyDescent="0.25">
      <c r="A197" t="s">
        <v>6</v>
      </c>
      <c r="B197">
        <v>14</v>
      </c>
      <c r="C197" t="s">
        <v>7</v>
      </c>
      <c r="D197" t="s">
        <v>8</v>
      </c>
      <c r="E197">
        <v>1000000</v>
      </c>
      <c r="F197">
        <v>23.76</v>
      </c>
      <c r="G197">
        <v>24.88</v>
      </c>
    </row>
    <row r="198" spans="1:7" x14ac:dyDescent="0.25">
      <c r="A198" t="s">
        <v>6</v>
      </c>
      <c r="B198">
        <v>14</v>
      </c>
      <c r="C198" t="s">
        <v>7</v>
      </c>
      <c r="D198" t="s">
        <v>8</v>
      </c>
      <c r="E198">
        <v>1000000</v>
      </c>
      <c r="F198">
        <v>24.08</v>
      </c>
      <c r="G198">
        <v>28.08</v>
      </c>
    </row>
    <row r="199" spans="1:7" x14ac:dyDescent="0.25">
      <c r="A199" t="s">
        <v>6</v>
      </c>
      <c r="B199">
        <v>14</v>
      </c>
      <c r="C199" t="s">
        <v>7</v>
      </c>
      <c r="D199" t="s">
        <v>8</v>
      </c>
      <c r="E199">
        <v>1000000</v>
      </c>
      <c r="F199">
        <v>22.17</v>
      </c>
      <c r="G199">
        <v>26.44</v>
      </c>
    </row>
    <row r="200" spans="1:7" x14ac:dyDescent="0.25">
      <c r="A200" t="s">
        <v>6</v>
      </c>
      <c r="B200">
        <v>14</v>
      </c>
      <c r="C200" t="s">
        <v>7</v>
      </c>
      <c r="D200" t="s">
        <v>8</v>
      </c>
      <c r="E200">
        <v>1000000</v>
      </c>
      <c r="F200">
        <v>23.73</v>
      </c>
      <c r="G200">
        <v>27.52</v>
      </c>
    </row>
    <row r="201" spans="1:7" x14ac:dyDescent="0.25">
      <c r="A201" t="s">
        <v>6</v>
      </c>
      <c r="B201">
        <v>14</v>
      </c>
      <c r="C201" t="s">
        <v>7</v>
      </c>
      <c r="D201" t="s">
        <v>8</v>
      </c>
      <c r="E201">
        <v>1000000</v>
      </c>
      <c r="F201">
        <v>23.59</v>
      </c>
      <c r="G201">
        <v>26.54</v>
      </c>
    </row>
    <row r="202" spans="1:7" x14ac:dyDescent="0.25">
      <c r="A202" t="s">
        <v>6</v>
      </c>
      <c r="B202">
        <v>14</v>
      </c>
      <c r="C202" t="s">
        <v>7</v>
      </c>
      <c r="D202" t="s">
        <v>8</v>
      </c>
      <c r="E202">
        <v>1000000</v>
      </c>
      <c r="F202">
        <v>21.79</v>
      </c>
      <c r="G202">
        <v>26.54</v>
      </c>
    </row>
    <row r="203" spans="1:7" x14ac:dyDescent="0.25">
      <c r="A203" t="s">
        <v>6</v>
      </c>
      <c r="B203">
        <v>21</v>
      </c>
      <c r="C203" t="s">
        <v>7</v>
      </c>
      <c r="D203" t="s">
        <v>8</v>
      </c>
      <c r="E203">
        <v>1000000</v>
      </c>
      <c r="F203">
        <v>26.04</v>
      </c>
      <c r="G203">
        <v>30.91</v>
      </c>
    </row>
    <row r="204" spans="1:7" x14ac:dyDescent="0.25">
      <c r="A204" t="s">
        <v>6</v>
      </c>
      <c r="B204">
        <v>21</v>
      </c>
      <c r="C204" t="s">
        <v>7</v>
      </c>
      <c r="D204" t="s">
        <v>8</v>
      </c>
      <c r="E204">
        <v>1000000</v>
      </c>
      <c r="F204">
        <v>26.34</v>
      </c>
      <c r="G204">
        <v>28.73</v>
      </c>
    </row>
    <row r="205" spans="1:7" x14ac:dyDescent="0.25">
      <c r="A205" t="s">
        <v>6</v>
      </c>
      <c r="B205">
        <v>21</v>
      </c>
      <c r="C205" t="s">
        <v>7</v>
      </c>
      <c r="D205" t="s">
        <v>8</v>
      </c>
      <c r="E205">
        <v>1000000</v>
      </c>
      <c r="F205">
        <v>27.12</v>
      </c>
      <c r="G205">
        <v>29.64</v>
      </c>
    </row>
    <row r="206" spans="1:7" x14ac:dyDescent="0.25">
      <c r="A206" t="s">
        <v>6</v>
      </c>
      <c r="B206">
        <v>21</v>
      </c>
      <c r="C206" t="s">
        <v>7</v>
      </c>
      <c r="D206" t="s">
        <v>8</v>
      </c>
      <c r="E206">
        <v>1000000</v>
      </c>
      <c r="F206">
        <v>27.08</v>
      </c>
      <c r="G206">
        <v>28.81</v>
      </c>
    </row>
    <row r="207" spans="1:7" x14ac:dyDescent="0.25">
      <c r="A207" t="s">
        <v>6</v>
      </c>
      <c r="B207">
        <v>21</v>
      </c>
      <c r="C207" t="s">
        <v>7</v>
      </c>
      <c r="D207" t="s">
        <v>8</v>
      </c>
      <c r="E207">
        <v>1000000</v>
      </c>
      <c r="F207">
        <v>23.43</v>
      </c>
      <c r="G207">
        <v>28.85</v>
      </c>
    </row>
    <row r="208" spans="1:7" x14ac:dyDescent="0.25">
      <c r="A208" t="s">
        <v>6</v>
      </c>
      <c r="B208">
        <v>21</v>
      </c>
      <c r="C208" t="s">
        <v>7</v>
      </c>
      <c r="D208" t="s">
        <v>8</v>
      </c>
      <c r="E208">
        <v>1000000</v>
      </c>
      <c r="F208">
        <v>24.09</v>
      </c>
      <c r="G208">
        <v>29.04</v>
      </c>
    </row>
    <row r="209" spans="1:7" x14ac:dyDescent="0.25">
      <c r="A209" t="s">
        <v>6</v>
      </c>
      <c r="B209">
        <v>21</v>
      </c>
      <c r="C209" t="s">
        <v>7</v>
      </c>
      <c r="D209" t="s">
        <v>8</v>
      </c>
      <c r="E209">
        <v>1000000</v>
      </c>
      <c r="F209">
        <v>26.27</v>
      </c>
      <c r="G209">
        <v>29.83</v>
      </c>
    </row>
    <row r="210" spans="1:7" x14ac:dyDescent="0.25">
      <c r="A210" t="s">
        <v>6</v>
      </c>
      <c r="B210">
        <v>21</v>
      </c>
      <c r="C210" t="s">
        <v>7</v>
      </c>
      <c r="D210" t="s">
        <v>8</v>
      </c>
      <c r="E210">
        <v>1000000</v>
      </c>
      <c r="F210">
        <v>26.27</v>
      </c>
      <c r="G210">
        <v>28.78</v>
      </c>
    </row>
    <row r="211" spans="1:7" x14ac:dyDescent="0.25">
      <c r="A211" t="s">
        <v>6</v>
      </c>
      <c r="B211">
        <v>21</v>
      </c>
      <c r="C211" t="s">
        <v>7</v>
      </c>
      <c r="D211" t="s">
        <v>8</v>
      </c>
      <c r="E211">
        <v>1000000</v>
      </c>
      <c r="F211">
        <v>26.27</v>
      </c>
      <c r="G211">
        <v>31.38</v>
      </c>
    </row>
    <row r="212" spans="1:7" x14ac:dyDescent="0.25">
      <c r="A212" t="s">
        <v>6</v>
      </c>
      <c r="B212">
        <v>21</v>
      </c>
      <c r="C212" t="s">
        <v>7</v>
      </c>
      <c r="D212" t="s">
        <v>8</v>
      </c>
      <c r="E212">
        <v>1000000</v>
      </c>
      <c r="F212">
        <v>31.28</v>
      </c>
      <c r="G212">
        <v>28.16</v>
      </c>
    </row>
    <row r="213" spans="1:7" x14ac:dyDescent="0.25">
      <c r="A213" t="s">
        <v>6</v>
      </c>
      <c r="B213">
        <v>21</v>
      </c>
      <c r="C213" t="s">
        <v>7</v>
      </c>
      <c r="D213" t="s">
        <v>8</v>
      </c>
      <c r="E213">
        <v>1000000</v>
      </c>
      <c r="F213">
        <v>26.36</v>
      </c>
      <c r="G213">
        <v>29.22</v>
      </c>
    </row>
    <row r="214" spans="1:7" x14ac:dyDescent="0.25">
      <c r="A214" t="s">
        <v>6</v>
      </c>
      <c r="B214">
        <v>21</v>
      </c>
      <c r="C214" t="s">
        <v>7</v>
      </c>
      <c r="D214" t="s">
        <v>8</v>
      </c>
      <c r="E214">
        <v>1000000</v>
      </c>
      <c r="F214">
        <v>27.2</v>
      </c>
      <c r="G214">
        <v>28.84</v>
      </c>
    </row>
    <row r="215" spans="1:7" x14ac:dyDescent="0.25">
      <c r="A215" t="s">
        <v>6</v>
      </c>
      <c r="B215">
        <v>21</v>
      </c>
      <c r="C215" t="s">
        <v>7</v>
      </c>
      <c r="D215" t="s">
        <v>8</v>
      </c>
      <c r="E215">
        <v>1000000</v>
      </c>
      <c r="F215">
        <v>26.93</v>
      </c>
      <c r="G215">
        <v>31.67</v>
      </c>
    </row>
    <row r="216" spans="1:7" x14ac:dyDescent="0.25">
      <c r="A216" t="s">
        <v>6</v>
      </c>
      <c r="B216">
        <v>21</v>
      </c>
      <c r="C216" t="s">
        <v>7</v>
      </c>
      <c r="D216" t="s">
        <v>8</v>
      </c>
      <c r="E216">
        <v>1000000</v>
      </c>
      <c r="F216">
        <v>26.48</v>
      </c>
      <c r="G216">
        <v>29.79</v>
      </c>
    </row>
    <row r="217" spans="1:7" x14ac:dyDescent="0.25">
      <c r="A217" t="s">
        <v>6</v>
      </c>
      <c r="B217">
        <v>21</v>
      </c>
      <c r="C217" t="s">
        <v>7</v>
      </c>
      <c r="D217" t="s">
        <v>8</v>
      </c>
      <c r="E217">
        <v>1000000</v>
      </c>
      <c r="F217">
        <v>25.03</v>
      </c>
      <c r="G217">
        <v>31.05</v>
      </c>
    </row>
    <row r="218" spans="1:7" x14ac:dyDescent="0.25">
      <c r="A218" t="s">
        <v>6</v>
      </c>
      <c r="B218">
        <v>21</v>
      </c>
      <c r="C218" t="s">
        <v>7</v>
      </c>
      <c r="D218" t="s">
        <v>8</v>
      </c>
      <c r="E218">
        <v>1000000</v>
      </c>
      <c r="F218">
        <v>26.64</v>
      </c>
      <c r="G218">
        <v>27.27</v>
      </c>
    </row>
    <row r="219" spans="1:7" x14ac:dyDescent="0.25">
      <c r="A219" t="s">
        <v>6</v>
      </c>
      <c r="B219">
        <v>21</v>
      </c>
      <c r="C219" t="s">
        <v>7</v>
      </c>
      <c r="D219" t="s">
        <v>8</v>
      </c>
      <c r="E219">
        <v>1000000</v>
      </c>
      <c r="F219">
        <v>24.34</v>
      </c>
      <c r="G219">
        <v>29.9</v>
      </c>
    </row>
    <row r="220" spans="1:7" x14ac:dyDescent="0.25">
      <c r="A220" t="s">
        <v>6</v>
      </c>
      <c r="B220">
        <v>21</v>
      </c>
      <c r="C220" t="s">
        <v>7</v>
      </c>
      <c r="D220" t="s">
        <v>8</v>
      </c>
      <c r="E220">
        <v>1000000</v>
      </c>
      <c r="F220">
        <v>25.14</v>
      </c>
      <c r="G220">
        <v>30.83</v>
      </c>
    </row>
    <row r="221" spans="1:7" x14ac:dyDescent="0.25">
      <c r="A221" t="s">
        <v>6</v>
      </c>
      <c r="B221">
        <v>21</v>
      </c>
      <c r="C221" t="s">
        <v>7</v>
      </c>
      <c r="D221" t="s">
        <v>8</v>
      </c>
      <c r="E221">
        <v>1000000</v>
      </c>
      <c r="F221">
        <v>24.77</v>
      </c>
      <c r="G221">
        <v>29.62</v>
      </c>
    </row>
    <row r="222" spans="1:7" x14ac:dyDescent="0.25">
      <c r="A222" t="s">
        <v>6</v>
      </c>
      <c r="B222">
        <v>21</v>
      </c>
      <c r="C222" t="s">
        <v>7</v>
      </c>
      <c r="D222" t="s">
        <v>8</v>
      </c>
      <c r="E222">
        <v>1000000</v>
      </c>
      <c r="F222">
        <v>25.62</v>
      </c>
      <c r="G222">
        <v>31.1</v>
      </c>
    </row>
    <row r="223" spans="1:7" x14ac:dyDescent="0.25">
      <c r="A223" t="s">
        <v>6</v>
      </c>
      <c r="B223">
        <v>21</v>
      </c>
      <c r="C223" t="s">
        <v>7</v>
      </c>
      <c r="D223" t="s">
        <v>8</v>
      </c>
      <c r="E223">
        <v>1000000</v>
      </c>
      <c r="F223">
        <v>28.97</v>
      </c>
      <c r="G223">
        <v>28.72</v>
      </c>
    </row>
    <row r="224" spans="1:7" x14ac:dyDescent="0.25">
      <c r="A224" t="s">
        <v>6</v>
      </c>
      <c r="B224">
        <v>21</v>
      </c>
      <c r="C224" t="s">
        <v>7</v>
      </c>
      <c r="D224" t="s">
        <v>8</v>
      </c>
      <c r="E224">
        <v>1000000</v>
      </c>
      <c r="F224">
        <v>22.7</v>
      </c>
      <c r="G224">
        <v>31.61</v>
      </c>
    </row>
    <row r="225" spans="1:7" x14ac:dyDescent="0.25">
      <c r="A225" t="s">
        <v>6</v>
      </c>
      <c r="B225">
        <v>21</v>
      </c>
      <c r="C225" t="s">
        <v>7</v>
      </c>
      <c r="D225" t="s">
        <v>8</v>
      </c>
      <c r="E225">
        <v>1000000</v>
      </c>
      <c r="F225">
        <v>26.53</v>
      </c>
      <c r="G225">
        <v>32.950000000000003</v>
      </c>
    </row>
    <row r="226" spans="1:7" x14ac:dyDescent="0.25">
      <c r="A226" t="s">
        <v>6</v>
      </c>
      <c r="B226">
        <v>21</v>
      </c>
      <c r="C226" t="s">
        <v>7</v>
      </c>
      <c r="D226" t="s">
        <v>8</v>
      </c>
      <c r="E226">
        <v>1000000</v>
      </c>
      <c r="F226">
        <v>23.08</v>
      </c>
      <c r="G226">
        <v>28.96</v>
      </c>
    </row>
    <row r="227" spans="1:7" x14ac:dyDescent="0.25">
      <c r="A227" t="s">
        <v>6</v>
      </c>
      <c r="B227">
        <v>21</v>
      </c>
      <c r="C227" t="s">
        <v>7</v>
      </c>
      <c r="D227" t="s">
        <v>8</v>
      </c>
      <c r="E227">
        <v>1000000</v>
      </c>
      <c r="F227">
        <v>24.79</v>
      </c>
      <c r="G227">
        <v>28.83</v>
      </c>
    </row>
    <row r="228" spans="1:7" x14ac:dyDescent="0.25">
      <c r="A228" t="s">
        <v>6</v>
      </c>
      <c r="B228">
        <v>21</v>
      </c>
      <c r="C228" t="s">
        <v>7</v>
      </c>
      <c r="D228" t="s">
        <v>8</v>
      </c>
      <c r="E228">
        <v>1000000</v>
      </c>
      <c r="F228">
        <v>27.13</v>
      </c>
      <c r="G228">
        <v>31.68</v>
      </c>
    </row>
    <row r="229" spans="1:7" x14ac:dyDescent="0.25">
      <c r="A229" t="s">
        <v>6</v>
      </c>
      <c r="B229">
        <v>21</v>
      </c>
      <c r="C229" t="s">
        <v>7</v>
      </c>
      <c r="D229" t="s">
        <v>8</v>
      </c>
      <c r="E229">
        <v>1000000</v>
      </c>
      <c r="F229">
        <v>25.6</v>
      </c>
      <c r="G229">
        <v>31.87</v>
      </c>
    </row>
    <row r="230" spans="1:7" x14ac:dyDescent="0.25">
      <c r="A230" t="s">
        <v>6</v>
      </c>
      <c r="B230">
        <v>21</v>
      </c>
      <c r="C230" t="s">
        <v>7</v>
      </c>
      <c r="D230" t="s">
        <v>8</v>
      </c>
      <c r="E230">
        <v>1000000</v>
      </c>
      <c r="F230">
        <v>23.88</v>
      </c>
      <c r="G230">
        <v>28.72</v>
      </c>
    </row>
    <row r="231" spans="1:7" x14ac:dyDescent="0.25">
      <c r="A231" t="s">
        <v>6</v>
      </c>
      <c r="B231">
        <v>21</v>
      </c>
      <c r="C231" t="s">
        <v>7</v>
      </c>
      <c r="D231" t="s">
        <v>8</v>
      </c>
      <c r="E231">
        <v>1000000</v>
      </c>
      <c r="F231">
        <v>24.43</v>
      </c>
      <c r="G231">
        <v>28.87</v>
      </c>
    </row>
    <row r="232" spans="1:7" x14ac:dyDescent="0.25">
      <c r="A232" t="s">
        <v>6</v>
      </c>
      <c r="B232">
        <v>21</v>
      </c>
      <c r="C232" t="s">
        <v>7</v>
      </c>
      <c r="D232" t="s">
        <v>8</v>
      </c>
      <c r="E232">
        <v>1000000</v>
      </c>
      <c r="F232">
        <v>26.52</v>
      </c>
      <c r="G232">
        <v>29.08</v>
      </c>
    </row>
    <row r="233" spans="1:7" x14ac:dyDescent="0.25">
      <c r="A233" t="s">
        <v>6</v>
      </c>
      <c r="B233">
        <v>21</v>
      </c>
      <c r="C233" t="s">
        <v>7</v>
      </c>
      <c r="D233" t="s">
        <v>8</v>
      </c>
      <c r="E233">
        <v>1000000</v>
      </c>
      <c r="F233">
        <v>24.4</v>
      </c>
      <c r="G233">
        <v>27.48</v>
      </c>
    </row>
    <row r="234" spans="1:7" x14ac:dyDescent="0.25">
      <c r="A234" t="s">
        <v>6</v>
      </c>
      <c r="B234">
        <v>21</v>
      </c>
      <c r="C234" t="s">
        <v>7</v>
      </c>
      <c r="D234" t="s">
        <v>8</v>
      </c>
      <c r="E234">
        <v>1000000</v>
      </c>
      <c r="F234">
        <v>25.82</v>
      </c>
      <c r="G234">
        <v>28.12</v>
      </c>
    </row>
    <row r="235" spans="1:7" x14ac:dyDescent="0.25">
      <c r="A235" t="s">
        <v>6</v>
      </c>
      <c r="B235">
        <v>21</v>
      </c>
      <c r="C235" t="s">
        <v>7</v>
      </c>
      <c r="D235" t="s">
        <v>8</v>
      </c>
      <c r="E235">
        <v>1000000</v>
      </c>
      <c r="F235">
        <v>25.57</v>
      </c>
      <c r="G235">
        <v>27.99</v>
      </c>
    </row>
    <row r="236" spans="1:7" x14ac:dyDescent="0.25">
      <c r="A236" t="s">
        <v>6</v>
      </c>
      <c r="B236">
        <v>21</v>
      </c>
      <c r="C236" t="s">
        <v>7</v>
      </c>
      <c r="D236" t="s">
        <v>8</v>
      </c>
      <c r="E236">
        <v>1000000</v>
      </c>
      <c r="F236">
        <v>24.52</v>
      </c>
      <c r="G236">
        <v>28.35</v>
      </c>
    </row>
    <row r="237" spans="1:7" x14ac:dyDescent="0.25">
      <c r="A237" t="s">
        <v>6</v>
      </c>
      <c r="B237">
        <v>21</v>
      </c>
      <c r="C237" t="s">
        <v>7</v>
      </c>
      <c r="D237" t="s">
        <v>8</v>
      </c>
      <c r="E237">
        <v>1000000</v>
      </c>
      <c r="F237">
        <v>28.72</v>
      </c>
      <c r="G237">
        <v>29.45</v>
      </c>
    </row>
    <row r="238" spans="1:7" x14ac:dyDescent="0.25">
      <c r="A238" t="s">
        <v>6</v>
      </c>
      <c r="B238">
        <v>21</v>
      </c>
      <c r="C238" t="s">
        <v>7</v>
      </c>
      <c r="D238" t="s">
        <v>8</v>
      </c>
      <c r="E238">
        <v>1000000</v>
      </c>
      <c r="F238">
        <v>26.45</v>
      </c>
      <c r="G238">
        <v>29.85</v>
      </c>
    </row>
    <row r="239" spans="1:7" x14ac:dyDescent="0.25">
      <c r="A239" t="s">
        <v>6</v>
      </c>
      <c r="B239">
        <v>21</v>
      </c>
      <c r="C239" t="s">
        <v>7</v>
      </c>
      <c r="D239" t="s">
        <v>8</v>
      </c>
      <c r="E239">
        <v>1000000</v>
      </c>
      <c r="F239">
        <v>22.46</v>
      </c>
      <c r="G239">
        <v>31.83</v>
      </c>
    </row>
    <row r="240" spans="1:7" x14ac:dyDescent="0.25">
      <c r="A240" t="s">
        <v>6</v>
      </c>
      <c r="B240">
        <v>21</v>
      </c>
      <c r="C240" t="s">
        <v>7</v>
      </c>
      <c r="D240" t="s">
        <v>8</v>
      </c>
      <c r="E240">
        <v>1000000</v>
      </c>
      <c r="F240">
        <v>25.78</v>
      </c>
      <c r="G240">
        <v>28</v>
      </c>
    </row>
    <row r="241" spans="1:7" x14ac:dyDescent="0.25">
      <c r="A241" t="s">
        <v>6</v>
      </c>
      <c r="B241">
        <v>21</v>
      </c>
      <c r="C241" t="s">
        <v>7</v>
      </c>
      <c r="D241" t="s">
        <v>8</v>
      </c>
      <c r="E241">
        <v>1000000</v>
      </c>
      <c r="F241">
        <v>24.51</v>
      </c>
      <c r="G241">
        <v>30.98</v>
      </c>
    </row>
    <row r="242" spans="1:7" x14ac:dyDescent="0.25">
      <c r="A242" t="s">
        <v>6</v>
      </c>
      <c r="B242">
        <v>21</v>
      </c>
      <c r="C242" t="s">
        <v>7</v>
      </c>
      <c r="D242" t="s">
        <v>8</v>
      </c>
      <c r="E242">
        <v>1000000</v>
      </c>
      <c r="F242">
        <v>26.78</v>
      </c>
      <c r="G242">
        <v>29.18</v>
      </c>
    </row>
    <row r="243" spans="1:7" x14ac:dyDescent="0.25">
      <c r="A243" t="s">
        <v>6</v>
      </c>
      <c r="B243">
        <v>21</v>
      </c>
      <c r="C243" t="s">
        <v>7</v>
      </c>
      <c r="D243" t="s">
        <v>8</v>
      </c>
      <c r="E243">
        <v>1000000</v>
      </c>
      <c r="F243">
        <v>24.31</v>
      </c>
      <c r="G243">
        <v>29.43</v>
      </c>
    </row>
    <row r="244" spans="1:7" x14ac:dyDescent="0.25">
      <c r="A244" t="s">
        <v>6</v>
      </c>
      <c r="B244">
        <v>21</v>
      </c>
      <c r="C244" t="s">
        <v>7</v>
      </c>
      <c r="D244" t="s">
        <v>8</v>
      </c>
      <c r="E244">
        <v>1000000</v>
      </c>
      <c r="F244">
        <v>25.33</v>
      </c>
      <c r="G244">
        <v>30.51</v>
      </c>
    </row>
    <row r="245" spans="1:7" x14ac:dyDescent="0.25">
      <c r="A245" t="s">
        <v>6</v>
      </c>
      <c r="B245">
        <v>21</v>
      </c>
      <c r="C245" t="s">
        <v>7</v>
      </c>
      <c r="D245" t="s">
        <v>8</v>
      </c>
      <c r="E245">
        <v>1000000</v>
      </c>
      <c r="F245">
        <v>26.26</v>
      </c>
      <c r="G245">
        <v>27.82</v>
      </c>
    </row>
    <row r="246" spans="1:7" x14ac:dyDescent="0.25">
      <c r="A246" t="s">
        <v>6</v>
      </c>
      <c r="B246">
        <v>21</v>
      </c>
      <c r="C246" t="s">
        <v>7</v>
      </c>
      <c r="D246" t="s">
        <v>8</v>
      </c>
      <c r="E246">
        <v>1000000</v>
      </c>
      <c r="F246">
        <v>26.8</v>
      </c>
      <c r="G246">
        <v>30.07</v>
      </c>
    </row>
    <row r="247" spans="1:7" x14ac:dyDescent="0.25">
      <c r="A247" t="s">
        <v>6</v>
      </c>
      <c r="B247">
        <v>21</v>
      </c>
      <c r="C247" t="s">
        <v>7</v>
      </c>
      <c r="D247" t="s">
        <v>8</v>
      </c>
      <c r="E247">
        <v>1000000</v>
      </c>
      <c r="F247">
        <v>23.7</v>
      </c>
      <c r="G247">
        <v>29.75</v>
      </c>
    </row>
    <row r="248" spans="1:7" x14ac:dyDescent="0.25">
      <c r="A248" t="s">
        <v>6</v>
      </c>
      <c r="B248">
        <v>21</v>
      </c>
      <c r="C248" t="s">
        <v>7</v>
      </c>
      <c r="D248" t="s">
        <v>8</v>
      </c>
      <c r="E248">
        <v>1000000</v>
      </c>
      <c r="F248">
        <v>25</v>
      </c>
      <c r="G248">
        <v>30.24</v>
      </c>
    </row>
    <row r="249" spans="1:7" x14ac:dyDescent="0.25">
      <c r="A249" t="s">
        <v>6</v>
      </c>
      <c r="B249">
        <v>21</v>
      </c>
      <c r="C249" t="s">
        <v>7</v>
      </c>
      <c r="D249" t="s">
        <v>8</v>
      </c>
      <c r="E249">
        <v>1000000</v>
      </c>
      <c r="F249">
        <v>24.79</v>
      </c>
      <c r="G249">
        <v>29.93</v>
      </c>
    </row>
    <row r="250" spans="1:7" x14ac:dyDescent="0.25">
      <c r="A250" t="s">
        <v>6</v>
      </c>
      <c r="B250">
        <v>21</v>
      </c>
      <c r="C250" t="s">
        <v>7</v>
      </c>
      <c r="D250" t="s">
        <v>8</v>
      </c>
      <c r="E250">
        <v>1000000</v>
      </c>
      <c r="F250">
        <v>24.52</v>
      </c>
      <c r="G250">
        <v>33.18</v>
      </c>
    </row>
    <row r="251" spans="1:7" x14ac:dyDescent="0.25">
      <c r="A251" t="s">
        <v>6</v>
      </c>
      <c r="B251">
        <v>21</v>
      </c>
      <c r="C251" t="s">
        <v>7</v>
      </c>
      <c r="D251" t="s">
        <v>8</v>
      </c>
      <c r="E251">
        <v>1000000</v>
      </c>
      <c r="F251">
        <v>28.15</v>
      </c>
      <c r="G251">
        <v>28.54</v>
      </c>
    </row>
    <row r="252" spans="1:7" x14ac:dyDescent="0.25">
      <c r="A252" t="s">
        <v>6</v>
      </c>
      <c r="B252">
        <v>21</v>
      </c>
      <c r="C252" t="s">
        <v>7</v>
      </c>
      <c r="D252" t="s">
        <v>8</v>
      </c>
      <c r="E252">
        <v>1000000</v>
      </c>
      <c r="F252">
        <v>26.11</v>
      </c>
      <c r="G252">
        <v>28.7</v>
      </c>
    </row>
    <row r="253" spans="1:7" x14ac:dyDescent="0.25">
      <c r="A253" t="s">
        <v>6</v>
      </c>
      <c r="B253">
        <v>21</v>
      </c>
      <c r="C253" t="s">
        <v>7</v>
      </c>
      <c r="D253" t="s">
        <v>8</v>
      </c>
      <c r="E253">
        <v>1000000</v>
      </c>
      <c r="F253">
        <v>23.61</v>
      </c>
      <c r="G253">
        <v>28.57</v>
      </c>
    </row>
    <row r="254" spans="1:7" x14ac:dyDescent="0.25">
      <c r="A254" t="s">
        <v>6</v>
      </c>
      <c r="B254">
        <v>21</v>
      </c>
      <c r="C254" t="s">
        <v>7</v>
      </c>
      <c r="D254" t="s">
        <v>8</v>
      </c>
      <c r="E254">
        <v>1000000</v>
      </c>
      <c r="F254">
        <v>26.88</v>
      </c>
      <c r="G254">
        <v>28.67</v>
      </c>
    </row>
    <row r="255" spans="1:7" x14ac:dyDescent="0.25">
      <c r="A255" t="s">
        <v>6</v>
      </c>
      <c r="B255">
        <v>21</v>
      </c>
      <c r="C255" t="s">
        <v>7</v>
      </c>
      <c r="D255" t="s">
        <v>8</v>
      </c>
      <c r="E255">
        <v>1000000</v>
      </c>
      <c r="F255">
        <v>28.68</v>
      </c>
      <c r="G255">
        <v>28.54</v>
      </c>
    </row>
    <row r="256" spans="1:7" x14ac:dyDescent="0.25">
      <c r="A256" t="s">
        <v>6</v>
      </c>
      <c r="B256">
        <v>21</v>
      </c>
      <c r="C256" t="s">
        <v>7</v>
      </c>
      <c r="D256" t="s">
        <v>8</v>
      </c>
      <c r="E256">
        <v>1000000</v>
      </c>
      <c r="F256">
        <v>27.05</v>
      </c>
      <c r="G256">
        <v>31.28</v>
      </c>
    </row>
    <row r="257" spans="1:7" x14ac:dyDescent="0.25">
      <c r="A257" t="s">
        <v>6</v>
      </c>
      <c r="B257">
        <v>21</v>
      </c>
      <c r="C257" t="s">
        <v>7</v>
      </c>
      <c r="D257" t="s">
        <v>8</v>
      </c>
      <c r="E257">
        <v>1000000</v>
      </c>
      <c r="F257">
        <v>23.22</v>
      </c>
      <c r="G257">
        <v>31.63</v>
      </c>
    </row>
    <row r="258" spans="1:7" x14ac:dyDescent="0.25">
      <c r="A258" t="s">
        <v>6</v>
      </c>
      <c r="B258">
        <v>21</v>
      </c>
      <c r="C258" t="s">
        <v>7</v>
      </c>
      <c r="D258" t="s">
        <v>8</v>
      </c>
      <c r="E258">
        <v>1000000</v>
      </c>
      <c r="F258">
        <v>24.77</v>
      </c>
      <c r="G258">
        <v>28.64</v>
      </c>
    </row>
    <row r="259" spans="1:7" x14ac:dyDescent="0.25">
      <c r="A259" t="s">
        <v>6</v>
      </c>
      <c r="B259">
        <v>21</v>
      </c>
      <c r="C259" t="s">
        <v>7</v>
      </c>
      <c r="D259" t="s">
        <v>8</v>
      </c>
      <c r="E259">
        <v>1000000</v>
      </c>
      <c r="F259">
        <v>27.4</v>
      </c>
      <c r="G259">
        <v>28.25</v>
      </c>
    </row>
    <row r="260" spans="1:7" x14ac:dyDescent="0.25">
      <c r="A260" t="s">
        <v>6</v>
      </c>
      <c r="B260">
        <v>21</v>
      </c>
      <c r="C260" t="s">
        <v>7</v>
      </c>
      <c r="D260" t="s">
        <v>8</v>
      </c>
      <c r="E260">
        <v>1000000</v>
      </c>
      <c r="F260">
        <v>24.44</v>
      </c>
      <c r="G260">
        <v>30.21</v>
      </c>
    </row>
    <row r="261" spans="1:7" x14ac:dyDescent="0.25">
      <c r="A261" t="s">
        <v>6</v>
      </c>
      <c r="B261">
        <v>21</v>
      </c>
      <c r="C261" t="s">
        <v>7</v>
      </c>
      <c r="D261" t="s">
        <v>8</v>
      </c>
      <c r="E261">
        <v>1000000</v>
      </c>
      <c r="F261">
        <v>26.17</v>
      </c>
      <c r="G261">
        <v>28.67</v>
      </c>
    </row>
    <row r="262" spans="1:7" x14ac:dyDescent="0.25">
      <c r="A262" t="s">
        <v>6</v>
      </c>
      <c r="B262">
        <v>21</v>
      </c>
      <c r="C262" t="s">
        <v>7</v>
      </c>
      <c r="D262" t="s">
        <v>8</v>
      </c>
      <c r="E262">
        <v>1000000</v>
      </c>
      <c r="F262">
        <v>26.66</v>
      </c>
      <c r="G262">
        <v>30.45</v>
      </c>
    </row>
    <row r="263" spans="1:7" x14ac:dyDescent="0.25">
      <c r="A263" t="s">
        <v>6</v>
      </c>
      <c r="B263">
        <v>21</v>
      </c>
      <c r="C263" t="s">
        <v>7</v>
      </c>
      <c r="D263" t="s">
        <v>8</v>
      </c>
      <c r="E263">
        <v>1000000</v>
      </c>
      <c r="F263">
        <v>24.11</v>
      </c>
      <c r="G263">
        <v>29.8</v>
      </c>
    </row>
    <row r="264" spans="1:7" x14ac:dyDescent="0.25">
      <c r="A264" t="s">
        <v>6</v>
      </c>
      <c r="B264">
        <v>21</v>
      </c>
      <c r="C264" t="s">
        <v>7</v>
      </c>
      <c r="D264" t="s">
        <v>8</v>
      </c>
      <c r="E264">
        <v>1000000</v>
      </c>
      <c r="F264">
        <v>25.41</v>
      </c>
      <c r="G264">
        <v>27.23</v>
      </c>
    </row>
    <row r="265" spans="1:7" x14ac:dyDescent="0.25">
      <c r="A265" t="s">
        <v>6</v>
      </c>
      <c r="B265">
        <v>21</v>
      </c>
      <c r="C265" t="s">
        <v>7</v>
      </c>
      <c r="D265" t="s">
        <v>8</v>
      </c>
      <c r="E265">
        <v>1000000</v>
      </c>
      <c r="F265">
        <v>20.64</v>
      </c>
      <c r="G265">
        <v>31.82</v>
      </c>
    </row>
    <row r="266" spans="1:7" x14ac:dyDescent="0.25">
      <c r="A266" t="s">
        <v>6</v>
      </c>
      <c r="B266">
        <v>21</v>
      </c>
      <c r="C266" t="s">
        <v>7</v>
      </c>
      <c r="D266" t="s">
        <v>8</v>
      </c>
      <c r="E266">
        <v>1000000</v>
      </c>
      <c r="F266">
        <v>23.96</v>
      </c>
      <c r="G266">
        <v>32.19</v>
      </c>
    </row>
    <row r="267" spans="1:7" x14ac:dyDescent="0.25">
      <c r="A267" t="s">
        <v>6</v>
      </c>
      <c r="B267">
        <v>21</v>
      </c>
      <c r="C267" t="s">
        <v>7</v>
      </c>
      <c r="D267" t="s">
        <v>8</v>
      </c>
      <c r="E267">
        <v>1000000</v>
      </c>
      <c r="F267">
        <v>25.12</v>
      </c>
      <c r="G267">
        <v>28.58</v>
      </c>
    </row>
    <row r="268" spans="1:7" x14ac:dyDescent="0.25">
      <c r="A268" t="s">
        <v>6</v>
      </c>
      <c r="B268">
        <v>21</v>
      </c>
      <c r="C268" t="s">
        <v>7</v>
      </c>
      <c r="D268" t="s">
        <v>8</v>
      </c>
      <c r="E268">
        <v>1000000</v>
      </c>
      <c r="F268">
        <v>23.63</v>
      </c>
      <c r="G268">
        <v>28.92</v>
      </c>
    </row>
    <row r="269" spans="1:7" x14ac:dyDescent="0.25">
      <c r="A269" t="s">
        <v>6</v>
      </c>
      <c r="B269">
        <v>21</v>
      </c>
      <c r="C269" t="s">
        <v>7</v>
      </c>
      <c r="D269" t="s">
        <v>8</v>
      </c>
      <c r="E269">
        <v>1000000</v>
      </c>
      <c r="F269">
        <v>27.95</v>
      </c>
      <c r="G269">
        <v>29.93</v>
      </c>
    </row>
    <row r="270" spans="1:7" x14ac:dyDescent="0.25">
      <c r="A270" t="s">
        <v>6</v>
      </c>
      <c r="B270">
        <v>21</v>
      </c>
      <c r="C270" t="s">
        <v>7</v>
      </c>
      <c r="D270" t="s">
        <v>8</v>
      </c>
      <c r="E270">
        <v>1000000</v>
      </c>
      <c r="F270">
        <v>23.35</v>
      </c>
      <c r="G270">
        <v>30</v>
      </c>
    </row>
    <row r="271" spans="1:7" x14ac:dyDescent="0.25">
      <c r="A271" t="s">
        <v>6</v>
      </c>
      <c r="B271">
        <v>21</v>
      </c>
      <c r="C271" t="s">
        <v>7</v>
      </c>
      <c r="D271" t="s">
        <v>8</v>
      </c>
      <c r="E271">
        <v>1000000</v>
      </c>
      <c r="F271">
        <v>24.84</v>
      </c>
      <c r="G271">
        <v>30.49</v>
      </c>
    </row>
    <row r="272" spans="1:7" x14ac:dyDescent="0.25">
      <c r="A272" t="s">
        <v>6</v>
      </c>
      <c r="B272">
        <v>21</v>
      </c>
      <c r="C272" t="s">
        <v>7</v>
      </c>
      <c r="D272" t="s">
        <v>8</v>
      </c>
      <c r="E272">
        <v>1000000</v>
      </c>
      <c r="F272">
        <v>25.7</v>
      </c>
      <c r="G272">
        <v>32.520000000000003</v>
      </c>
    </row>
    <row r="273" spans="1:7" x14ac:dyDescent="0.25">
      <c r="A273" t="s">
        <v>6</v>
      </c>
      <c r="B273">
        <v>21</v>
      </c>
      <c r="C273" t="s">
        <v>7</v>
      </c>
      <c r="D273" t="s">
        <v>8</v>
      </c>
      <c r="E273">
        <v>1000000</v>
      </c>
      <c r="F273">
        <v>27.66</v>
      </c>
      <c r="G273">
        <v>29.23</v>
      </c>
    </row>
    <row r="274" spans="1:7" x14ac:dyDescent="0.25">
      <c r="A274" t="s">
        <v>6</v>
      </c>
      <c r="B274">
        <v>21</v>
      </c>
      <c r="C274" t="s">
        <v>7</v>
      </c>
      <c r="D274" t="s">
        <v>8</v>
      </c>
      <c r="E274">
        <v>1000000</v>
      </c>
      <c r="F274">
        <v>23.35</v>
      </c>
      <c r="G274">
        <v>28.3</v>
      </c>
    </row>
    <row r="275" spans="1:7" x14ac:dyDescent="0.25">
      <c r="A275" t="s">
        <v>6</v>
      </c>
      <c r="B275">
        <v>21</v>
      </c>
      <c r="C275" t="s">
        <v>7</v>
      </c>
      <c r="D275" t="s">
        <v>8</v>
      </c>
      <c r="E275">
        <v>1000000</v>
      </c>
      <c r="F275">
        <v>27.24</v>
      </c>
      <c r="G275">
        <v>27.43</v>
      </c>
    </row>
    <row r="276" spans="1:7" x14ac:dyDescent="0.25">
      <c r="A276" t="s">
        <v>6</v>
      </c>
      <c r="B276">
        <v>21</v>
      </c>
      <c r="C276" t="s">
        <v>7</v>
      </c>
      <c r="D276" t="s">
        <v>8</v>
      </c>
      <c r="E276">
        <v>1000000</v>
      </c>
      <c r="F276">
        <v>25.52</v>
      </c>
      <c r="G276">
        <v>28.4</v>
      </c>
    </row>
    <row r="277" spans="1:7" x14ac:dyDescent="0.25">
      <c r="A277" t="s">
        <v>6</v>
      </c>
      <c r="B277">
        <v>21</v>
      </c>
      <c r="C277" t="s">
        <v>7</v>
      </c>
      <c r="D277" t="s">
        <v>8</v>
      </c>
      <c r="E277">
        <v>1000000</v>
      </c>
      <c r="F277">
        <v>24.03</v>
      </c>
      <c r="G277">
        <v>29.45</v>
      </c>
    </row>
    <row r="278" spans="1:7" x14ac:dyDescent="0.25">
      <c r="A278" t="s">
        <v>6</v>
      </c>
      <c r="B278">
        <v>21</v>
      </c>
      <c r="C278" t="s">
        <v>7</v>
      </c>
      <c r="D278" t="s">
        <v>8</v>
      </c>
      <c r="E278">
        <v>1000000</v>
      </c>
      <c r="F278">
        <v>26.19</v>
      </c>
      <c r="G278">
        <v>32.19</v>
      </c>
    </row>
    <row r="279" spans="1:7" x14ac:dyDescent="0.25">
      <c r="A279" t="s">
        <v>6</v>
      </c>
      <c r="B279">
        <v>21</v>
      </c>
      <c r="C279" t="s">
        <v>7</v>
      </c>
      <c r="D279" t="s">
        <v>8</v>
      </c>
      <c r="E279">
        <v>1000000</v>
      </c>
      <c r="F279">
        <v>25.8</v>
      </c>
      <c r="G279">
        <v>28.72</v>
      </c>
    </row>
    <row r="280" spans="1:7" x14ac:dyDescent="0.25">
      <c r="A280" t="s">
        <v>6</v>
      </c>
      <c r="B280">
        <v>21</v>
      </c>
      <c r="C280" t="s">
        <v>7</v>
      </c>
      <c r="D280" t="s">
        <v>8</v>
      </c>
      <c r="E280">
        <v>1000000</v>
      </c>
      <c r="F280">
        <v>24.6</v>
      </c>
      <c r="G280">
        <v>29.84</v>
      </c>
    </row>
    <row r="281" spans="1:7" x14ac:dyDescent="0.25">
      <c r="A281" t="s">
        <v>6</v>
      </c>
      <c r="B281">
        <v>21</v>
      </c>
      <c r="C281" t="s">
        <v>7</v>
      </c>
      <c r="D281" t="s">
        <v>8</v>
      </c>
      <c r="E281">
        <v>1000000</v>
      </c>
      <c r="F281">
        <v>25.6</v>
      </c>
      <c r="G281">
        <v>29.48</v>
      </c>
    </row>
    <row r="282" spans="1:7" x14ac:dyDescent="0.25">
      <c r="A282" t="s">
        <v>6</v>
      </c>
      <c r="B282">
        <v>21</v>
      </c>
      <c r="C282" t="s">
        <v>7</v>
      </c>
      <c r="D282" t="s">
        <v>8</v>
      </c>
      <c r="E282">
        <v>1000000</v>
      </c>
      <c r="F282">
        <v>24.92</v>
      </c>
      <c r="G282">
        <v>31.28</v>
      </c>
    </row>
    <row r="283" spans="1:7" x14ac:dyDescent="0.25">
      <c r="A283" t="s">
        <v>6</v>
      </c>
      <c r="B283">
        <v>21</v>
      </c>
      <c r="C283" t="s">
        <v>7</v>
      </c>
      <c r="D283" t="s">
        <v>8</v>
      </c>
      <c r="E283">
        <v>1000000</v>
      </c>
      <c r="F283">
        <v>25.67</v>
      </c>
      <c r="G283">
        <v>33.29</v>
      </c>
    </row>
    <row r="284" spans="1:7" x14ac:dyDescent="0.25">
      <c r="A284" t="s">
        <v>6</v>
      </c>
      <c r="B284">
        <v>21</v>
      </c>
      <c r="C284" t="s">
        <v>7</v>
      </c>
      <c r="D284" t="s">
        <v>8</v>
      </c>
      <c r="E284">
        <v>1000000</v>
      </c>
      <c r="F284">
        <v>26.49</v>
      </c>
      <c r="G284">
        <v>28.7</v>
      </c>
    </row>
    <row r="285" spans="1:7" x14ac:dyDescent="0.25">
      <c r="A285" t="s">
        <v>6</v>
      </c>
      <c r="B285">
        <v>21</v>
      </c>
      <c r="C285" t="s">
        <v>7</v>
      </c>
      <c r="D285" t="s">
        <v>8</v>
      </c>
      <c r="E285">
        <v>1000000</v>
      </c>
      <c r="F285">
        <v>27.88</v>
      </c>
      <c r="G285">
        <v>28.77</v>
      </c>
    </row>
    <row r="286" spans="1:7" x14ac:dyDescent="0.25">
      <c r="A286" t="s">
        <v>6</v>
      </c>
      <c r="B286">
        <v>21</v>
      </c>
      <c r="C286" t="s">
        <v>7</v>
      </c>
      <c r="D286" t="s">
        <v>8</v>
      </c>
      <c r="E286">
        <v>1000000</v>
      </c>
      <c r="F286">
        <v>23.64</v>
      </c>
      <c r="G286">
        <v>31.07</v>
      </c>
    </row>
    <row r="287" spans="1:7" x14ac:dyDescent="0.25">
      <c r="A287" t="s">
        <v>6</v>
      </c>
      <c r="B287">
        <v>21</v>
      </c>
      <c r="C287" t="s">
        <v>7</v>
      </c>
      <c r="D287" t="s">
        <v>8</v>
      </c>
      <c r="E287">
        <v>1000000</v>
      </c>
      <c r="F287">
        <v>28.7</v>
      </c>
      <c r="G287">
        <v>30.52</v>
      </c>
    </row>
    <row r="288" spans="1:7" x14ac:dyDescent="0.25">
      <c r="A288" t="s">
        <v>6</v>
      </c>
      <c r="B288">
        <v>21</v>
      </c>
      <c r="C288" t="s">
        <v>7</v>
      </c>
      <c r="D288" t="s">
        <v>8</v>
      </c>
      <c r="E288">
        <v>1000000</v>
      </c>
      <c r="F288">
        <v>22.57</v>
      </c>
      <c r="G288">
        <v>32.270000000000003</v>
      </c>
    </row>
    <row r="289" spans="1:7" x14ac:dyDescent="0.25">
      <c r="A289" t="s">
        <v>6</v>
      </c>
      <c r="B289">
        <v>21</v>
      </c>
      <c r="C289" t="s">
        <v>7</v>
      </c>
      <c r="D289" t="s">
        <v>8</v>
      </c>
      <c r="E289">
        <v>1000000</v>
      </c>
      <c r="F289">
        <v>25.27</v>
      </c>
      <c r="G289">
        <v>30.38</v>
      </c>
    </row>
    <row r="290" spans="1:7" x14ac:dyDescent="0.25">
      <c r="A290" t="s">
        <v>6</v>
      </c>
      <c r="B290">
        <v>21</v>
      </c>
      <c r="C290" t="s">
        <v>7</v>
      </c>
      <c r="D290" t="s">
        <v>8</v>
      </c>
      <c r="E290">
        <v>1000000</v>
      </c>
      <c r="F290">
        <v>26.38</v>
      </c>
      <c r="G290">
        <v>28.96</v>
      </c>
    </row>
    <row r="291" spans="1:7" x14ac:dyDescent="0.25">
      <c r="A291" t="s">
        <v>6</v>
      </c>
      <c r="B291">
        <v>21</v>
      </c>
      <c r="C291" t="s">
        <v>7</v>
      </c>
      <c r="D291" t="s">
        <v>8</v>
      </c>
      <c r="E291">
        <v>1000000</v>
      </c>
      <c r="F291">
        <v>25.92</v>
      </c>
      <c r="G291">
        <v>30.39</v>
      </c>
    </row>
    <row r="292" spans="1:7" x14ac:dyDescent="0.25">
      <c r="A292" t="s">
        <v>6</v>
      </c>
      <c r="B292">
        <v>21</v>
      </c>
      <c r="C292" t="s">
        <v>7</v>
      </c>
      <c r="D292" t="s">
        <v>8</v>
      </c>
      <c r="E292">
        <v>1000000</v>
      </c>
      <c r="F292">
        <v>24.57</v>
      </c>
      <c r="G292">
        <v>31.16</v>
      </c>
    </row>
    <row r="293" spans="1:7" x14ac:dyDescent="0.25">
      <c r="A293" t="s">
        <v>6</v>
      </c>
      <c r="B293">
        <v>21</v>
      </c>
      <c r="C293" t="s">
        <v>7</v>
      </c>
      <c r="D293" t="s">
        <v>8</v>
      </c>
      <c r="E293">
        <v>1000000</v>
      </c>
      <c r="F293">
        <v>25.19</v>
      </c>
      <c r="G293">
        <v>30.73</v>
      </c>
    </row>
    <row r="294" spans="1:7" x14ac:dyDescent="0.25">
      <c r="A294" t="s">
        <v>6</v>
      </c>
      <c r="B294">
        <v>21</v>
      </c>
      <c r="C294" t="s">
        <v>7</v>
      </c>
      <c r="D294" t="s">
        <v>8</v>
      </c>
      <c r="E294">
        <v>1000000</v>
      </c>
      <c r="F294">
        <v>24.76</v>
      </c>
      <c r="G294">
        <v>30.26</v>
      </c>
    </row>
    <row r="295" spans="1:7" x14ac:dyDescent="0.25">
      <c r="A295" t="s">
        <v>6</v>
      </c>
      <c r="B295">
        <v>21</v>
      </c>
      <c r="C295" t="s">
        <v>7</v>
      </c>
      <c r="D295" t="s">
        <v>8</v>
      </c>
      <c r="E295">
        <v>1000000</v>
      </c>
      <c r="F295">
        <v>24.62</v>
      </c>
      <c r="G295">
        <v>31.1</v>
      </c>
    </row>
    <row r="296" spans="1:7" x14ac:dyDescent="0.25">
      <c r="A296" t="s">
        <v>6</v>
      </c>
      <c r="B296">
        <v>21</v>
      </c>
      <c r="C296" t="s">
        <v>7</v>
      </c>
      <c r="D296" t="s">
        <v>8</v>
      </c>
      <c r="E296">
        <v>1000000</v>
      </c>
      <c r="F296">
        <v>26.77</v>
      </c>
      <c r="G296">
        <v>31.25</v>
      </c>
    </row>
    <row r="297" spans="1:7" x14ac:dyDescent="0.25">
      <c r="A297" t="s">
        <v>6</v>
      </c>
      <c r="B297">
        <v>21</v>
      </c>
      <c r="C297" t="s">
        <v>7</v>
      </c>
      <c r="D297" t="s">
        <v>8</v>
      </c>
      <c r="E297">
        <v>1000000</v>
      </c>
      <c r="F297">
        <v>26.04</v>
      </c>
      <c r="G297">
        <v>31.57</v>
      </c>
    </row>
    <row r="298" spans="1:7" x14ac:dyDescent="0.25">
      <c r="A298" t="s">
        <v>6</v>
      </c>
      <c r="B298">
        <v>21</v>
      </c>
      <c r="C298" t="s">
        <v>7</v>
      </c>
      <c r="D298" t="s">
        <v>8</v>
      </c>
      <c r="E298">
        <v>1000000</v>
      </c>
      <c r="F298">
        <v>24.46</v>
      </c>
      <c r="G298">
        <v>30.47</v>
      </c>
    </row>
    <row r="299" spans="1:7" x14ac:dyDescent="0.25">
      <c r="A299" t="s">
        <v>6</v>
      </c>
      <c r="B299">
        <v>21</v>
      </c>
      <c r="C299" t="s">
        <v>7</v>
      </c>
      <c r="D299" t="s">
        <v>8</v>
      </c>
      <c r="E299">
        <v>1000000</v>
      </c>
      <c r="F299">
        <v>26.85</v>
      </c>
      <c r="G299">
        <v>29.25</v>
      </c>
    </row>
    <row r="300" spans="1:7" x14ac:dyDescent="0.25">
      <c r="A300" t="s">
        <v>6</v>
      </c>
      <c r="B300">
        <v>21</v>
      </c>
      <c r="C300" t="s">
        <v>7</v>
      </c>
      <c r="D300" t="s">
        <v>8</v>
      </c>
      <c r="E300">
        <v>1000000</v>
      </c>
      <c r="F300">
        <v>25.96</v>
      </c>
      <c r="G300">
        <v>29.72</v>
      </c>
    </row>
    <row r="301" spans="1:7" x14ac:dyDescent="0.25">
      <c r="A301" t="s">
        <v>6</v>
      </c>
      <c r="B301">
        <v>21</v>
      </c>
      <c r="C301" t="s">
        <v>7</v>
      </c>
      <c r="D301" t="s">
        <v>8</v>
      </c>
      <c r="E301">
        <v>1000000</v>
      </c>
      <c r="F301">
        <v>26.72</v>
      </c>
      <c r="G301">
        <v>31.31</v>
      </c>
    </row>
    <row r="302" spans="1:7" x14ac:dyDescent="0.25">
      <c r="A302" t="s">
        <v>6</v>
      </c>
      <c r="B302">
        <v>21</v>
      </c>
      <c r="C302" t="s">
        <v>7</v>
      </c>
      <c r="D302" t="s">
        <v>8</v>
      </c>
      <c r="E302">
        <v>1000000</v>
      </c>
      <c r="F302">
        <v>26.44</v>
      </c>
      <c r="G302">
        <v>28.27</v>
      </c>
    </row>
    <row r="303" spans="1:7" x14ac:dyDescent="0.25">
      <c r="A303" t="s">
        <v>6</v>
      </c>
      <c r="B303">
        <v>28</v>
      </c>
      <c r="C303" t="s">
        <v>7</v>
      </c>
      <c r="D303" t="s">
        <v>8</v>
      </c>
      <c r="E303">
        <v>1000000</v>
      </c>
      <c r="F303">
        <v>26.76</v>
      </c>
      <c r="G303">
        <v>33.549999999999997</v>
      </c>
    </row>
    <row r="304" spans="1:7" x14ac:dyDescent="0.25">
      <c r="A304" t="s">
        <v>6</v>
      </c>
      <c r="B304">
        <v>28</v>
      </c>
      <c r="C304" t="s">
        <v>7</v>
      </c>
      <c r="D304" t="s">
        <v>8</v>
      </c>
      <c r="E304">
        <v>1000000</v>
      </c>
      <c r="F304">
        <v>27.16</v>
      </c>
      <c r="G304">
        <v>32.409999999999997</v>
      </c>
    </row>
    <row r="305" spans="1:7" x14ac:dyDescent="0.25">
      <c r="A305" t="s">
        <v>6</v>
      </c>
      <c r="B305">
        <v>28</v>
      </c>
      <c r="C305" t="s">
        <v>7</v>
      </c>
      <c r="D305" t="s">
        <v>8</v>
      </c>
      <c r="E305">
        <v>1000000</v>
      </c>
      <c r="F305">
        <v>29.12</v>
      </c>
      <c r="G305">
        <v>33.04</v>
      </c>
    </row>
    <row r="306" spans="1:7" x14ac:dyDescent="0.25">
      <c r="A306" t="s">
        <v>6</v>
      </c>
      <c r="B306">
        <v>28</v>
      </c>
      <c r="C306" t="s">
        <v>7</v>
      </c>
      <c r="D306" t="s">
        <v>8</v>
      </c>
      <c r="E306">
        <v>1000000</v>
      </c>
      <c r="F306">
        <v>28.92</v>
      </c>
      <c r="G306">
        <v>34.92</v>
      </c>
    </row>
    <row r="307" spans="1:7" x14ac:dyDescent="0.25">
      <c r="A307" t="s">
        <v>6</v>
      </c>
      <c r="B307">
        <v>28</v>
      </c>
      <c r="C307" t="s">
        <v>7</v>
      </c>
      <c r="D307" t="s">
        <v>8</v>
      </c>
      <c r="E307">
        <v>1000000</v>
      </c>
      <c r="F307">
        <v>27.97</v>
      </c>
      <c r="G307">
        <v>33.29</v>
      </c>
    </row>
    <row r="308" spans="1:7" x14ac:dyDescent="0.25">
      <c r="A308" t="s">
        <v>6</v>
      </c>
      <c r="B308">
        <v>28</v>
      </c>
      <c r="C308" t="s">
        <v>7</v>
      </c>
      <c r="D308" t="s">
        <v>8</v>
      </c>
      <c r="E308">
        <v>1000000</v>
      </c>
      <c r="F308">
        <v>28.18</v>
      </c>
      <c r="G308">
        <v>33.07</v>
      </c>
    </row>
    <row r="309" spans="1:7" x14ac:dyDescent="0.25">
      <c r="A309" t="s">
        <v>6</v>
      </c>
      <c r="B309">
        <v>28</v>
      </c>
      <c r="C309" t="s">
        <v>7</v>
      </c>
      <c r="D309" t="s">
        <v>8</v>
      </c>
      <c r="E309">
        <v>1000000</v>
      </c>
      <c r="F309">
        <v>29.92</v>
      </c>
      <c r="G309">
        <v>30.96</v>
      </c>
    </row>
    <row r="310" spans="1:7" x14ac:dyDescent="0.25">
      <c r="A310" t="s">
        <v>6</v>
      </c>
      <c r="B310">
        <v>28</v>
      </c>
      <c r="C310" t="s">
        <v>7</v>
      </c>
      <c r="D310" t="s">
        <v>8</v>
      </c>
      <c r="E310">
        <v>1000000</v>
      </c>
      <c r="F310">
        <v>27.11</v>
      </c>
      <c r="G310">
        <v>34.119999999999997</v>
      </c>
    </row>
    <row r="311" spans="1:7" x14ac:dyDescent="0.25">
      <c r="A311" t="s">
        <v>6</v>
      </c>
      <c r="B311">
        <v>28</v>
      </c>
      <c r="C311" t="s">
        <v>7</v>
      </c>
      <c r="D311" t="s">
        <v>8</v>
      </c>
      <c r="E311">
        <v>1000000</v>
      </c>
      <c r="F311">
        <v>28.82</v>
      </c>
      <c r="G311">
        <v>33.97</v>
      </c>
    </row>
    <row r="312" spans="1:7" x14ac:dyDescent="0.25">
      <c r="A312" t="s">
        <v>6</v>
      </c>
      <c r="B312">
        <v>28</v>
      </c>
      <c r="C312" t="s">
        <v>7</v>
      </c>
      <c r="D312" t="s">
        <v>8</v>
      </c>
      <c r="E312">
        <v>1000000</v>
      </c>
      <c r="F312">
        <v>27.7</v>
      </c>
      <c r="G312">
        <v>36.24</v>
      </c>
    </row>
    <row r="313" spans="1:7" x14ac:dyDescent="0.25">
      <c r="A313" t="s">
        <v>6</v>
      </c>
      <c r="B313">
        <v>28</v>
      </c>
      <c r="C313" t="s">
        <v>7</v>
      </c>
      <c r="D313" t="s">
        <v>8</v>
      </c>
      <c r="E313">
        <v>1000000</v>
      </c>
      <c r="F313">
        <v>27.67</v>
      </c>
      <c r="G313">
        <v>32.54</v>
      </c>
    </row>
    <row r="314" spans="1:7" x14ac:dyDescent="0.25">
      <c r="A314" t="s">
        <v>6</v>
      </c>
      <c r="B314">
        <v>28</v>
      </c>
      <c r="C314" t="s">
        <v>7</v>
      </c>
      <c r="D314" t="s">
        <v>8</v>
      </c>
      <c r="E314">
        <v>1000000</v>
      </c>
      <c r="F314">
        <v>29.65</v>
      </c>
      <c r="G314">
        <v>33.33</v>
      </c>
    </row>
    <row r="315" spans="1:7" x14ac:dyDescent="0.25">
      <c r="A315" t="s">
        <v>6</v>
      </c>
      <c r="B315">
        <v>28</v>
      </c>
      <c r="C315" t="s">
        <v>7</v>
      </c>
      <c r="D315" t="s">
        <v>8</v>
      </c>
      <c r="E315">
        <v>1000000</v>
      </c>
      <c r="F315">
        <v>29.24</v>
      </c>
      <c r="G315">
        <v>33.369999999999997</v>
      </c>
    </row>
    <row r="316" spans="1:7" x14ac:dyDescent="0.25">
      <c r="A316" t="s">
        <v>6</v>
      </c>
      <c r="B316">
        <v>28</v>
      </c>
      <c r="C316" t="s">
        <v>7</v>
      </c>
      <c r="D316" t="s">
        <v>8</v>
      </c>
      <c r="E316">
        <v>1000000</v>
      </c>
      <c r="F316">
        <v>29.22</v>
      </c>
      <c r="G316">
        <v>35.369999999999997</v>
      </c>
    </row>
    <row r="317" spans="1:7" x14ac:dyDescent="0.25">
      <c r="A317" t="s">
        <v>6</v>
      </c>
      <c r="B317">
        <v>28</v>
      </c>
      <c r="C317" t="s">
        <v>7</v>
      </c>
      <c r="D317" t="s">
        <v>8</v>
      </c>
      <c r="E317">
        <v>1000000</v>
      </c>
      <c r="F317">
        <v>29.96</v>
      </c>
      <c r="G317">
        <v>32.86</v>
      </c>
    </row>
    <row r="318" spans="1:7" x14ac:dyDescent="0.25">
      <c r="A318" t="s">
        <v>6</v>
      </c>
      <c r="B318">
        <v>28</v>
      </c>
      <c r="C318" t="s">
        <v>7</v>
      </c>
      <c r="D318" t="s">
        <v>8</v>
      </c>
      <c r="E318">
        <v>1000000</v>
      </c>
      <c r="F318">
        <v>28.03</v>
      </c>
      <c r="G318">
        <v>33.42</v>
      </c>
    </row>
    <row r="319" spans="1:7" x14ac:dyDescent="0.25">
      <c r="A319" t="s">
        <v>6</v>
      </c>
      <c r="B319">
        <v>28</v>
      </c>
      <c r="C319" t="s">
        <v>7</v>
      </c>
      <c r="D319" t="s">
        <v>8</v>
      </c>
      <c r="E319">
        <v>1000000</v>
      </c>
      <c r="F319">
        <v>29.02</v>
      </c>
      <c r="G319">
        <v>33.909999999999997</v>
      </c>
    </row>
    <row r="320" spans="1:7" x14ac:dyDescent="0.25">
      <c r="A320" t="s">
        <v>6</v>
      </c>
      <c r="B320">
        <v>28</v>
      </c>
      <c r="C320" t="s">
        <v>7</v>
      </c>
      <c r="D320" t="s">
        <v>8</v>
      </c>
      <c r="E320">
        <v>1000000</v>
      </c>
      <c r="F320">
        <v>27.53</v>
      </c>
      <c r="G320">
        <v>33.28</v>
      </c>
    </row>
    <row r="321" spans="1:7" x14ac:dyDescent="0.25">
      <c r="A321" t="s">
        <v>6</v>
      </c>
      <c r="B321">
        <v>28</v>
      </c>
      <c r="C321" t="s">
        <v>7</v>
      </c>
      <c r="D321" t="s">
        <v>8</v>
      </c>
      <c r="E321">
        <v>1000000</v>
      </c>
      <c r="F321">
        <v>28.49</v>
      </c>
      <c r="G321">
        <v>32.33</v>
      </c>
    </row>
    <row r="322" spans="1:7" x14ac:dyDescent="0.25">
      <c r="A322" t="s">
        <v>6</v>
      </c>
      <c r="B322">
        <v>28</v>
      </c>
      <c r="C322" t="s">
        <v>7</v>
      </c>
      <c r="D322" t="s">
        <v>8</v>
      </c>
      <c r="E322">
        <v>1000000</v>
      </c>
      <c r="F322">
        <v>27.8</v>
      </c>
      <c r="G322">
        <v>33.29</v>
      </c>
    </row>
    <row r="323" spans="1:7" x14ac:dyDescent="0.25">
      <c r="A323" t="s">
        <v>6</v>
      </c>
      <c r="B323">
        <v>28</v>
      </c>
      <c r="C323" t="s">
        <v>7</v>
      </c>
      <c r="D323" t="s">
        <v>8</v>
      </c>
      <c r="E323">
        <v>1000000</v>
      </c>
      <c r="F323">
        <v>28.15</v>
      </c>
      <c r="G323">
        <v>34.61</v>
      </c>
    </row>
    <row r="324" spans="1:7" x14ac:dyDescent="0.25">
      <c r="A324" t="s">
        <v>6</v>
      </c>
      <c r="B324">
        <v>28</v>
      </c>
      <c r="C324" t="s">
        <v>7</v>
      </c>
      <c r="D324" t="s">
        <v>8</v>
      </c>
      <c r="E324">
        <v>1000000</v>
      </c>
      <c r="F324">
        <v>28.89</v>
      </c>
      <c r="G324">
        <v>31.46</v>
      </c>
    </row>
    <row r="325" spans="1:7" x14ac:dyDescent="0.25">
      <c r="A325" t="s">
        <v>6</v>
      </c>
      <c r="B325">
        <v>28</v>
      </c>
      <c r="C325" t="s">
        <v>7</v>
      </c>
      <c r="D325" t="s">
        <v>8</v>
      </c>
      <c r="E325">
        <v>1000000</v>
      </c>
      <c r="F325">
        <v>26.77</v>
      </c>
      <c r="G325">
        <v>33.200000000000003</v>
      </c>
    </row>
    <row r="326" spans="1:7" x14ac:dyDescent="0.25">
      <c r="A326" t="s">
        <v>6</v>
      </c>
      <c r="B326">
        <v>28</v>
      </c>
      <c r="C326" t="s">
        <v>7</v>
      </c>
      <c r="D326" t="s">
        <v>8</v>
      </c>
      <c r="E326">
        <v>1000000</v>
      </c>
      <c r="F326">
        <v>31.14</v>
      </c>
      <c r="G326">
        <v>31.95</v>
      </c>
    </row>
    <row r="327" spans="1:7" x14ac:dyDescent="0.25">
      <c r="A327" t="s">
        <v>6</v>
      </c>
      <c r="B327">
        <v>28</v>
      </c>
      <c r="C327" t="s">
        <v>7</v>
      </c>
      <c r="D327" t="s">
        <v>8</v>
      </c>
      <c r="E327">
        <v>1000000</v>
      </c>
      <c r="F327">
        <v>26.49</v>
      </c>
      <c r="G327">
        <v>34.79</v>
      </c>
    </row>
    <row r="328" spans="1:7" x14ac:dyDescent="0.25">
      <c r="A328" t="s">
        <v>6</v>
      </c>
      <c r="B328">
        <v>28</v>
      </c>
      <c r="C328" t="s">
        <v>7</v>
      </c>
      <c r="D328" t="s">
        <v>8</v>
      </c>
      <c r="E328">
        <v>1000000</v>
      </c>
      <c r="F328">
        <v>26.18</v>
      </c>
      <c r="G328">
        <v>30.72</v>
      </c>
    </row>
    <row r="329" spans="1:7" x14ac:dyDescent="0.25">
      <c r="A329" t="s">
        <v>6</v>
      </c>
      <c r="B329">
        <v>28</v>
      </c>
      <c r="C329" t="s">
        <v>7</v>
      </c>
      <c r="D329" t="s">
        <v>8</v>
      </c>
      <c r="E329">
        <v>1000000</v>
      </c>
      <c r="F329">
        <v>29.74</v>
      </c>
      <c r="G329">
        <v>32.159999999999997</v>
      </c>
    </row>
    <row r="330" spans="1:7" x14ac:dyDescent="0.25">
      <c r="A330" t="s">
        <v>6</v>
      </c>
      <c r="B330">
        <v>28</v>
      </c>
      <c r="C330" t="s">
        <v>7</v>
      </c>
      <c r="D330" t="s">
        <v>8</v>
      </c>
      <c r="E330">
        <v>1000000</v>
      </c>
      <c r="F330">
        <v>29.19</v>
      </c>
      <c r="G330">
        <v>33.57</v>
      </c>
    </row>
    <row r="331" spans="1:7" x14ac:dyDescent="0.25">
      <c r="A331" t="s">
        <v>6</v>
      </c>
      <c r="B331">
        <v>28</v>
      </c>
      <c r="C331" t="s">
        <v>7</v>
      </c>
      <c r="D331" t="s">
        <v>8</v>
      </c>
      <c r="E331">
        <v>1000000</v>
      </c>
      <c r="F331">
        <v>28.94</v>
      </c>
      <c r="G331">
        <v>35.35</v>
      </c>
    </row>
    <row r="332" spans="1:7" x14ac:dyDescent="0.25">
      <c r="A332" t="s">
        <v>6</v>
      </c>
      <c r="B332">
        <v>28</v>
      </c>
      <c r="C332" t="s">
        <v>7</v>
      </c>
      <c r="D332" t="s">
        <v>8</v>
      </c>
      <c r="E332">
        <v>1000000</v>
      </c>
      <c r="F332">
        <v>28.94</v>
      </c>
      <c r="G332">
        <v>32.9</v>
      </c>
    </row>
    <row r="333" spans="1:7" x14ac:dyDescent="0.25">
      <c r="A333" t="s">
        <v>6</v>
      </c>
      <c r="B333">
        <v>28</v>
      </c>
      <c r="C333" t="s">
        <v>7</v>
      </c>
      <c r="D333" t="s">
        <v>8</v>
      </c>
      <c r="E333">
        <v>1000000</v>
      </c>
      <c r="F333">
        <v>27.98</v>
      </c>
      <c r="G333">
        <v>32.17</v>
      </c>
    </row>
    <row r="334" spans="1:7" x14ac:dyDescent="0.25">
      <c r="A334" t="s">
        <v>6</v>
      </c>
      <c r="B334">
        <v>28</v>
      </c>
      <c r="C334" t="s">
        <v>7</v>
      </c>
      <c r="D334" t="s">
        <v>8</v>
      </c>
      <c r="E334">
        <v>1000000</v>
      </c>
      <c r="F334">
        <v>26.65</v>
      </c>
      <c r="G334">
        <v>35.82</v>
      </c>
    </row>
    <row r="335" spans="1:7" x14ac:dyDescent="0.25">
      <c r="A335" t="s">
        <v>6</v>
      </c>
      <c r="B335">
        <v>28</v>
      </c>
      <c r="C335" t="s">
        <v>7</v>
      </c>
      <c r="D335" t="s">
        <v>8</v>
      </c>
      <c r="E335">
        <v>1000000</v>
      </c>
      <c r="F335">
        <v>28.11</v>
      </c>
      <c r="G335">
        <v>30.83</v>
      </c>
    </row>
    <row r="336" spans="1:7" x14ac:dyDescent="0.25">
      <c r="A336" t="s">
        <v>6</v>
      </c>
      <c r="B336">
        <v>28</v>
      </c>
      <c r="C336" t="s">
        <v>7</v>
      </c>
      <c r="D336" t="s">
        <v>8</v>
      </c>
      <c r="E336">
        <v>1000000</v>
      </c>
      <c r="F336">
        <v>26.98</v>
      </c>
      <c r="G336">
        <v>29.7</v>
      </c>
    </row>
    <row r="337" spans="1:7" x14ac:dyDescent="0.25">
      <c r="A337" t="s">
        <v>6</v>
      </c>
      <c r="B337">
        <v>28</v>
      </c>
      <c r="C337" t="s">
        <v>7</v>
      </c>
      <c r="D337" t="s">
        <v>8</v>
      </c>
      <c r="E337">
        <v>1000000</v>
      </c>
      <c r="F337">
        <v>29.46</v>
      </c>
      <c r="G337">
        <v>33.659999999999997</v>
      </c>
    </row>
    <row r="338" spans="1:7" x14ac:dyDescent="0.25">
      <c r="A338" t="s">
        <v>6</v>
      </c>
      <c r="B338">
        <v>28</v>
      </c>
      <c r="C338" t="s">
        <v>7</v>
      </c>
      <c r="D338" t="s">
        <v>8</v>
      </c>
      <c r="E338">
        <v>1000000</v>
      </c>
      <c r="F338">
        <v>27.78</v>
      </c>
      <c r="G338">
        <v>32.25</v>
      </c>
    </row>
    <row r="339" spans="1:7" x14ac:dyDescent="0.25">
      <c r="A339" t="s">
        <v>6</v>
      </c>
      <c r="B339">
        <v>28</v>
      </c>
      <c r="C339" t="s">
        <v>7</v>
      </c>
      <c r="D339" t="s">
        <v>8</v>
      </c>
      <c r="E339">
        <v>1000000</v>
      </c>
      <c r="F339">
        <v>26.76</v>
      </c>
      <c r="G339">
        <v>31.47</v>
      </c>
    </row>
    <row r="340" spans="1:7" x14ac:dyDescent="0.25">
      <c r="A340" t="s">
        <v>6</v>
      </c>
      <c r="B340">
        <v>28</v>
      </c>
      <c r="C340" t="s">
        <v>7</v>
      </c>
      <c r="D340" t="s">
        <v>8</v>
      </c>
      <c r="E340">
        <v>1000000</v>
      </c>
      <c r="F340">
        <v>27.52</v>
      </c>
      <c r="G340">
        <v>34.06</v>
      </c>
    </row>
    <row r="341" spans="1:7" x14ac:dyDescent="0.25">
      <c r="A341" t="s">
        <v>6</v>
      </c>
      <c r="B341">
        <v>28</v>
      </c>
      <c r="C341" t="s">
        <v>7</v>
      </c>
      <c r="D341" t="s">
        <v>8</v>
      </c>
      <c r="E341">
        <v>1000000</v>
      </c>
      <c r="F341">
        <v>28.62</v>
      </c>
      <c r="G341">
        <v>33.369999999999997</v>
      </c>
    </row>
    <row r="342" spans="1:7" x14ac:dyDescent="0.25">
      <c r="A342" t="s">
        <v>6</v>
      </c>
      <c r="B342">
        <v>28</v>
      </c>
      <c r="C342" t="s">
        <v>7</v>
      </c>
      <c r="D342" t="s">
        <v>8</v>
      </c>
      <c r="E342">
        <v>1000000</v>
      </c>
      <c r="F342">
        <v>27.15</v>
      </c>
      <c r="G342">
        <v>32.15</v>
      </c>
    </row>
    <row r="343" spans="1:7" x14ac:dyDescent="0.25">
      <c r="A343" t="s">
        <v>6</v>
      </c>
      <c r="B343">
        <v>28</v>
      </c>
      <c r="C343" t="s">
        <v>7</v>
      </c>
      <c r="D343" t="s">
        <v>8</v>
      </c>
      <c r="E343">
        <v>1000000</v>
      </c>
      <c r="F343">
        <v>26.77</v>
      </c>
      <c r="G343">
        <v>31.08</v>
      </c>
    </row>
    <row r="344" spans="1:7" x14ac:dyDescent="0.25">
      <c r="A344" t="s">
        <v>6</v>
      </c>
      <c r="B344">
        <v>28</v>
      </c>
      <c r="C344" t="s">
        <v>7</v>
      </c>
      <c r="D344" t="s">
        <v>8</v>
      </c>
      <c r="E344">
        <v>1000000</v>
      </c>
      <c r="F344">
        <v>28.37</v>
      </c>
      <c r="G344">
        <v>34.31</v>
      </c>
    </row>
    <row r="345" spans="1:7" x14ac:dyDescent="0.25">
      <c r="A345" t="s">
        <v>6</v>
      </c>
      <c r="B345">
        <v>28</v>
      </c>
      <c r="C345" t="s">
        <v>7</v>
      </c>
      <c r="D345" t="s">
        <v>8</v>
      </c>
      <c r="E345">
        <v>1000000</v>
      </c>
      <c r="F345">
        <v>28.37</v>
      </c>
      <c r="G345">
        <v>33.979999999999997</v>
      </c>
    </row>
    <row r="346" spans="1:7" x14ac:dyDescent="0.25">
      <c r="A346" t="s">
        <v>6</v>
      </c>
      <c r="B346">
        <v>28</v>
      </c>
      <c r="C346" t="s">
        <v>7</v>
      </c>
      <c r="D346" t="s">
        <v>8</v>
      </c>
      <c r="E346">
        <v>1000000</v>
      </c>
      <c r="F346">
        <v>27.24</v>
      </c>
      <c r="G346">
        <v>32.85</v>
      </c>
    </row>
    <row r="347" spans="1:7" x14ac:dyDescent="0.25">
      <c r="A347" t="s">
        <v>6</v>
      </c>
      <c r="B347">
        <v>28</v>
      </c>
      <c r="C347" t="s">
        <v>7</v>
      </c>
      <c r="D347" t="s">
        <v>8</v>
      </c>
      <c r="E347">
        <v>1000000</v>
      </c>
      <c r="F347">
        <v>27.29</v>
      </c>
      <c r="G347">
        <v>35.770000000000003</v>
      </c>
    </row>
    <row r="348" spans="1:7" x14ac:dyDescent="0.25">
      <c r="A348" t="s">
        <v>6</v>
      </c>
      <c r="B348">
        <v>28</v>
      </c>
      <c r="C348" t="s">
        <v>7</v>
      </c>
      <c r="D348" t="s">
        <v>8</v>
      </c>
      <c r="E348">
        <v>1000000</v>
      </c>
      <c r="F348">
        <v>28.35</v>
      </c>
      <c r="G348">
        <v>31.39</v>
      </c>
    </row>
    <row r="349" spans="1:7" x14ac:dyDescent="0.25">
      <c r="A349" t="s">
        <v>6</v>
      </c>
      <c r="B349">
        <v>28</v>
      </c>
      <c r="C349" t="s">
        <v>7</v>
      </c>
      <c r="D349" t="s">
        <v>8</v>
      </c>
      <c r="E349">
        <v>1000000</v>
      </c>
      <c r="F349">
        <v>25.83</v>
      </c>
      <c r="G349">
        <v>30.71</v>
      </c>
    </row>
    <row r="350" spans="1:7" x14ac:dyDescent="0.25">
      <c r="A350" t="s">
        <v>6</v>
      </c>
      <c r="B350">
        <v>28</v>
      </c>
      <c r="C350" t="s">
        <v>7</v>
      </c>
      <c r="D350" t="s">
        <v>8</v>
      </c>
      <c r="E350">
        <v>1000000</v>
      </c>
      <c r="F350">
        <v>25.89</v>
      </c>
      <c r="G350">
        <v>31.96</v>
      </c>
    </row>
    <row r="351" spans="1:7" x14ac:dyDescent="0.25">
      <c r="A351" t="s">
        <v>6</v>
      </c>
      <c r="B351">
        <v>28</v>
      </c>
      <c r="C351" t="s">
        <v>7</v>
      </c>
      <c r="D351" t="s">
        <v>8</v>
      </c>
      <c r="E351">
        <v>1000000</v>
      </c>
      <c r="F351">
        <v>26.92</v>
      </c>
      <c r="G351">
        <v>32.93</v>
      </c>
    </row>
    <row r="352" spans="1:7" x14ac:dyDescent="0.25">
      <c r="A352" t="s">
        <v>6</v>
      </c>
      <c r="B352">
        <v>28</v>
      </c>
      <c r="C352" t="s">
        <v>7</v>
      </c>
      <c r="D352" t="s">
        <v>8</v>
      </c>
      <c r="E352">
        <v>1000000</v>
      </c>
      <c r="F352">
        <v>27.68</v>
      </c>
      <c r="G352">
        <v>33.369999999999997</v>
      </c>
    </row>
    <row r="353" spans="1:7" x14ac:dyDescent="0.25">
      <c r="A353" t="s">
        <v>6</v>
      </c>
      <c r="B353">
        <v>28</v>
      </c>
      <c r="C353" t="s">
        <v>7</v>
      </c>
      <c r="D353" t="s">
        <v>8</v>
      </c>
      <c r="E353">
        <v>1000000</v>
      </c>
      <c r="F353">
        <v>28.47</v>
      </c>
      <c r="G353">
        <v>32.64</v>
      </c>
    </row>
    <row r="354" spans="1:7" x14ac:dyDescent="0.25">
      <c r="A354" t="s">
        <v>6</v>
      </c>
      <c r="B354">
        <v>28</v>
      </c>
      <c r="C354" t="s">
        <v>7</v>
      </c>
      <c r="D354" t="s">
        <v>8</v>
      </c>
      <c r="E354">
        <v>1000000</v>
      </c>
      <c r="F354">
        <v>30.21</v>
      </c>
      <c r="G354">
        <v>33.53</v>
      </c>
    </row>
    <row r="355" spans="1:7" x14ac:dyDescent="0.25">
      <c r="A355" t="s">
        <v>6</v>
      </c>
      <c r="B355">
        <v>28</v>
      </c>
      <c r="C355" t="s">
        <v>7</v>
      </c>
      <c r="D355" t="s">
        <v>8</v>
      </c>
      <c r="E355">
        <v>1000000</v>
      </c>
      <c r="F355">
        <v>29.29</v>
      </c>
      <c r="G355">
        <v>31.12</v>
      </c>
    </row>
    <row r="356" spans="1:7" x14ac:dyDescent="0.25">
      <c r="A356" t="s">
        <v>6</v>
      </c>
      <c r="B356">
        <v>28</v>
      </c>
      <c r="C356" t="s">
        <v>7</v>
      </c>
      <c r="D356" t="s">
        <v>8</v>
      </c>
      <c r="E356">
        <v>1000000</v>
      </c>
      <c r="F356">
        <v>27.76</v>
      </c>
      <c r="G356">
        <v>35.17</v>
      </c>
    </row>
    <row r="357" spans="1:7" x14ac:dyDescent="0.25">
      <c r="A357" t="s">
        <v>6</v>
      </c>
      <c r="B357">
        <v>28</v>
      </c>
      <c r="C357" t="s">
        <v>7</v>
      </c>
      <c r="D357" t="s">
        <v>8</v>
      </c>
      <c r="E357">
        <v>1000000</v>
      </c>
      <c r="F357">
        <v>27.97</v>
      </c>
      <c r="G357">
        <v>32.880000000000003</v>
      </c>
    </row>
    <row r="358" spans="1:7" x14ac:dyDescent="0.25">
      <c r="A358" t="s">
        <v>6</v>
      </c>
      <c r="B358">
        <v>28</v>
      </c>
      <c r="C358" t="s">
        <v>7</v>
      </c>
      <c r="D358" t="s">
        <v>8</v>
      </c>
      <c r="E358">
        <v>1000000</v>
      </c>
      <c r="F358">
        <v>26.5</v>
      </c>
      <c r="G358">
        <v>34.68</v>
      </c>
    </row>
    <row r="359" spans="1:7" x14ac:dyDescent="0.25">
      <c r="A359" t="s">
        <v>6</v>
      </c>
      <c r="B359">
        <v>28</v>
      </c>
      <c r="C359" t="s">
        <v>7</v>
      </c>
      <c r="D359" t="s">
        <v>8</v>
      </c>
      <c r="E359">
        <v>1000000</v>
      </c>
      <c r="F359">
        <v>27.97</v>
      </c>
      <c r="G359">
        <v>33.51</v>
      </c>
    </row>
    <row r="360" spans="1:7" x14ac:dyDescent="0.25">
      <c r="A360" t="s">
        <v>6</v>
      </c>
      <c r="B360">
        <v>28</v>
      </c>
      <c r="C360" t="s">
        <v>7</v>
      </c>
      <c r="D360" t="s">
        <v>8</v>
      </c>
      <c r="E360">
        <v>1000000</v>
      </c>
      <c r="F360">
        <v>27.57</v>
      </c>
      <c r="G360">
        <v>33.69</v>
      </c>
    </row>
    <row r="361" spans="1:7" x14ac:dyDescent="0.25">
      <c r="A361" t="s">
        <v>6</v>
      </c>
      <c r="B361">
        <v>28</v>
      </c>
      <c r="C361" t="s">
        <v>7</v>
      </c>
      <c r="D361" t="s">
        <v>8</v>
      </c>
      <c r="E361">
        <v>1000000</v>
      </c>
      <c r="F361">
        <v>28.48</v>
      </c>
      <c r="G361">
        <v>33.85</v>
      </c>
    </row>
    <row r="362" spans="1:7" x14ac:dyDescent="0.25">
      <c r="A362" t="s">
        <v>6</v>
      </c>
      <c r="B362">
        <v>28</v>
      </c>
      <c r="C362" t="s">
        <v>7</v>
      </c>
      <c r="D362" t="s">
        <v>8</v>
      </c>
      <c r="E362">
        <v>1000000</v>
      </c>
      <c r="F362">
        <v>26.76</v>
      </c>
      <c r="G362">
        <v>33.67</v>
      </c>
    </row>
    <row r="363" spans="1:7" x14ac:dyDescent="0.25">
      <c r="A363" t="s">
        <v>6</v>
      </c>
      <c r="B363">
        <v>28</v>
      </c>
      <c r="C363" t="s">
        <v>7</v>
      </c>
      <c r="D363" t="s">
        <v>8</v>
      </c>
      <c r="E363">
        <v>1000000</v>
      </c>
      <c r="F363">
        <v>28.78</v>
      </c>
      <c r="G363">
        <v>33.96</v>
      </c>
    </row>
    <row r="364" spans="1:7" x14ac:dyDescent="0.25">
      <c r="A364" t="s">
        <v>6</v>
      </c>
      <c r="B364">
        <v>28</v>
      </c>
      <c r="C364" t="s">
        <v>7</v>
      </c>
      <c r="D364" t="s">
        <v>8</v>
      </c>
      <c r="E364">
        <v>1000000</v>
      </c>
      <c r="F364">
        <v>30.3</v>
      </c>
      <c r="G364">
        <v>34.99</v>
      </c>
    </row>
    <row r="365" spans="1:7" x14ac:dyDescent="0.25">
      <c r="A365" t="s">
        <v>6</v>
      </c>
      <c r="B365">
        <v>28</v>
      </c>
      <c r="C365" t="s">
        <v>7</v>
      </c>
      <c r="D365" t="s">
        <v>8</v>
      </c>
      <c r="E365">
        <v>1000000</v>
      </c>
      <c r="F365">
        <v>27.84</v>
      </c>
      <c r="G365">
        <v>33.29</v>
      </c>
    </row>
    <row r="366" spans="1:7" x14ac:dyDescent="0.25">
      <c r="A366" t="s">
        <v>6</v>
      </c>
      <c r="B366">
        <v>28</v>
      </c>
      <c r="C366" t="s">
        <v>7</v>
      </c>
      <c r="D366" t="s">
        <v>8</v>
      </c>
      <c r="E366">
        <v>1000000</v>
      </c>
      <c r="F366">
        <v>28.6</v>
      </c>
      <c r="G366">
        <v>34.06</v>
      </c>
    </row>
    <row r="367" spans="1:7" x14ac:dyDescent="0.25">
      <c r="A367" t="s">
        <v>6</v>
      </c>
      <c r="B367">
        <v>28</v>
      </c>
      <c r="C367" t="s">
        <v>7</v>
      </c>
      <c r="D367" t="s">
        <v>8</v>
      </c>
      <c r="E367">
        <v>1000000</v>
      </c>
      <c r="F367">
        <v>29.04</v>
      </c>
      <c r="G367">
        <v>32.869999999999997</v>
      </c>
    </row>
    <row r="368" spans="1:7" x14ac:dyDescent="0.25">
      <c r="A368" t="s">
        <v>6</v>
      </c>
      <c r="B368">
        <v>28</v>
      </c>
      <c r="C368" t="s">
        <v>7</v>
      </c>
      <c r="D368" t="s">
        <v>8</v>
      </c>
      <c r="E368">
        <v>1000000</v>
      </c>
      <c r="F368">
        <v>27.4</v>
      </c>
      <c r="G368">
        <v>35.159999999999997</v>
      </c>
    </row>
    <row r="369" spans="1:7" x14ac:dyDescent="0.25">
      <c r="A369" t="s">
        <v>6</v>
      </c>
      <c r="B369">
        <v>28</v>
      </c>
      <c r="C369" t="s">
        <v>7</v>
      </c>
      <c r="D369" t="s">
        <v>8</v>
      </c>
      <c r="E369">
        <v>1000000</v>
      </c>
      <c r="F369">
        <v>28.34</v>
      </c>
      <c r="G369">
        <v>31.99</v>
      </c>
    </row>
    <row r="370" spans="1:7" x14ac:dyDescent="0.25">
      <c r="A370" t="s">
        <v>6</v>
      </c>
      <c r="B370">
        <v>28</v>
      </c>
      <c r="C370" t="s">
        <v>7</v>
      </c>
      <c r="D370" t="s">
        <v>8</v>
      </c>
      <c r="E370">
        <v>1000000</v>
      </c>
      <c r="F370">
        <v>28.02</v>
      </c>
      <c r="G370">
        <v>35.700000000000003</v>
      </c>
    </row>
    <row r="371" spans="1:7" x14ac:dyDescent="0.25">
      <c r="A371" t="s">
        <v>6</v>
      </c>
      <c r="B371">
        <v>28</v>
      </c>
      <c r="C371" t="s">
        <v>7</v>
      </c>
      <c r="D371" t="s">
        <v>8</v>
      </c>
      <c r="E371">
        <v>1000000</v>
      </c>
      <c r="F371">
        <v>28.15</v>
      </c>
      <c r="G371">
        <v>32.94</v>
      </c>
    </row>
    <row r="372" spans="1:7" x14ac:dyDescent="0.25">
      <c r="A372" t="s">
        <v>6</v>
      </c>
      <c r="B372">
        <v>28</v>
      </c>
      <c r="C372" t="s">
        <v>7</v>
      </c>
      <c r="D372" t="s">
        <v>8</v>
      </c>
      <c r="E372">
        <v>1000000</v>
      </c>
      <c r="F372">
        <v>26.84</v>
      </c>
      <c r="G372">
        <v>30.85</v>
      </c>
    </row>
    <row r="373" spans="1:7" x14ac:dyDescent="0.25">
      <c r="A373" t="s">
        <v>6</v>
      </c>
      <c r="B373">
        <v>28</v>
      </c>
      <c r="C373" t="s">
        <v>7</v>
      </c>
      <c r="D373" t="s">
        <v>8</v>
      </c>
      <c r="E373">
        <v>1000000</v>
      </c>
      <c r="F373">
        <v>28.04</v>
      </c>
      <c r="G373">
        <v>33.19</v>
      </c>
    </row>
    <row r="374" spans="1:7" x14ac:dyDescent="0.25">
      <c r="A374" t="s">
        <v>6</v>
      </c>
      <c r="B374">
        <v>28</v>
      </c>
      <c r="C374" t="s">
        <v>7</v>
      </c>
      <c r="D374" t="s">
        <v>8</v>
      </c>
      <c r="E374">
        <v>1000000</v>
      </c>
      <c r="F374">
        <v>28.75</v>
      </c>
      <c r="G374">
        <v>31.98</v>
      </c>
    </row>
    <row r="375" spans="1:7" x14ac:dyDescent="0.25">
      <c r="A375" t="s">
        <v>6</v>
      </c>
      <c r="B375">
        <v>28</v>
      </c>
      <c r="C375" t="s">
        <v>7</v>
      </c>
      <c r="D375" t="s">
        <v>8</v>
      </c>
      <c r="E375">
        <v>1000000</v>
      </c>
      <c r="F375">
        <v>30.18</v>
      </c>
      <c r="G375">
        <v>34.26</v>
      </c>
    </row>
    <row r="376" spans="1:7" x14ac:dyDescent="0.25">
      <c r="A376" t="s">
        <v>6</v>
      </c>
      <c r="B376">
        <v>28</v>
      </c>
      <c r="C376" t="s">
        <v>7</v>
      </c>
      <c r="D376" t="s">
        <v>8</v>
      </c>
      <c r="E376">
        <v>1000000</v>
      </c>
      <c r="F376">
        <v>29.44</v>
      </c>
      <c r="G376">
        <v>32.020000000000003</v>
      </c>
    </row>
    <row r="377" spans="1:7" x14ac:dyDescent="0.25">
      <c r="A377" t="s">
        <v>6</v>
      </c>
      <c r="B377">
        <v>28</v>
      </c>
      <c r="C377" t="s">
        <v>7</v>
      </c>
      <c r="D377" t="s">
        <v>8</v>
      </c>
      <c r="E377">
        <v>1000000</v>
      </c>
      <c r="F377">
        <v>31.23</v>
      </c>
      <c r="G377">
        <v>32.33</v>
      </c>
    </row>
    <row r="378" spans="1:7" x14ac:dyDescent="0.25">
      <c r="A378" t="s">
        <v>6</v>
      </c>
      <c r="B378">
        <v>28</v>
      </c>
      <c r="C378" t="s">
        <v>7</v>
      </c>
      <c r="D378" t="s">
        <v>8</v>
      </c>
      <c r="E378">
        <v>1000000</v>
      </c>
      <c r="F378">
        <v>26.85</v>
      </c>
      <c r="G378">
        <v>30.17</v>
      </c>
    </row>
    <row r="379" spans="1:7" x14ac:dyDescent="0.25">
      <c r="A379" t="s">
        <v>6</v>
      </c>
      <c r="B379">
        <v>28</v>
      </c>
      <c r="C379" t="s">
        <v>7</v>
      </c>
      <c r="D379" t="s">
        <v>8</v>
      </c>
      <c r="E379">
        <v>1000000</v>
      </c>
      <c r="F379">
        <v>29.31</v>
      </c>
      <c r="G379">
        <v>32.32</v>
      </c>
    </row>
    <row r="380" spans="1:7" x14ac:dyDescent="0.25">
      <c r="A380" t="s">
        <v>6</v>
      </c>
      <c r="B380">
        <v>28</v>
      </c>
      <c r="C380" t="s">
        <v>7</v>
      </c>
      <c r="D380" t="s">
        <v>8</v>
      </c>
      <c r="E380">
        <v>1000000</v>
      </c>
      <c r="F380">
        <v>28.28</v>
      </c>
      <c r="G380">
        <v>29.36</v>
      </c>
    </row>
    <row r="381" spans="1:7" x14ac:dyDescent="0.25">
      <c r="A381" t="s">
        <v>6</v>
      </c>
      <c r="B381">
        <v>28</v>
      </c>
      <c r="C381" t="s">
        <v>7</v>
      </c>
      <c r="D381" t="s">
        <v>8</v>
      </c>
      <c r="E381">
        <v>1000000</v>
      </c>
      <c r="F381">
        <v>31.28</v>
      </c>
      <c r="G381">
        <v>30.62</v>
      </c>
    </row>
    <row r="382" spans="1:7" x14ac:dyDescent="0.25">
      <c r="A382" t="s">
        <v>6</v>
      </c>
      <c r="B382">
        <v>28</v>
      </c>
      <c r="C382" t="s">
        <v>7</v>
      </c>
      <c r="D382" t="s">
        <v>8</v>
      </c>
      <c r="E382">
        <v>1000000</v>
      </c>
      <c r="F382">
        <v>26.79</v>
      </c>
      <c r="G382">
        <v>34.14</v>
      </c>
    </row>
    <row r="383" spans="1:7" x14ac:dyDescent="0.25">
      <c r="A383" t="s">
        <v>6</v>
      </c>
      <c r="B383">
        <v>28</v>
      </c>
      <c r="C383" t="s">
        <v>7</v>
      </c>
      <c r="D383" t="s">
        <v>8</v>
      </c>
      <c r="E383">
        <v>1000000</v>
      </c>
      <c r="F383">
        <v>26.74</v>
      </c>
      <c r="G383">
        <v>34.18</v>
      </c>
    </row>
    <row r="384" spans="1:7" x14ac:dyDescent="0.25">
      <c r="A384" t="s">
        <v>6</v>
      </c>
      <c r="B384">
        <v>28</v>
      </c>
      <c r="C384" t="s">
        <v>7</v>
      </c>
      <c r="D384" t="s">
        <v>8</v>
      </c>
      <c r="E384">
        <v>1000000</v>
      </c>
      <c r="F384">
        <v>27.1</v>
      </c>
      <c r="G384">
        <v>33.64</v>
      </c>
    </row>
    <row r="385" spans="1:7" x14ac:dyDescent="0.25">
      <c r="A385" t="s">
        <v>6</v>
      </c>
      <c r="B385">
        <v>28</v>
      </c>
      <c r="C385" t="s">
        <v>7</v>
      </c>
      <c r="D385" t="s">
        <v>8</v>
      </c>
      <c r="E385">
        <v>1000000</v>
      </c>
      <c r="F385">
        <v>24.81</v>
      </c>
      <c r="G385">
        <v>31.55</v>
      </c>
    </row>
    <row r="386" spans="1:7" x14ac:dyDescent="0.25">
      <c r="A386" t="s">
        <v>6</v>
      </c>
      <c r="B386">
        <v>28</v>
      </c>
      <c r="C386" t="s">
        <v>7</v>
      </c>
      <c r="D386" t="s">
        <v>8</v>
      </c>
      <c r="E386">
        <v>1000000</v>
      </c>
      <c r="F386">
        <v>27.21</v>
      </c>
      <c r="G386">
        <v>32.93</v>
      </c>
    </row>
    <row r="387" spans="1:7" x14ac:dyDescent="0.25">
      <c r="A387" t="s">
        <v>6</v>
      </c>
      <c r="B387">
        <v>28</v>
      </c>
      <c r="C387" t="s">
        <v>7</v>
      </c>
      <c r="D387" t="s">
        <v>8</v>
      </c>
      <c r="E387">
        <v>1000000</v>
      </c>
      <c r="F387">
        <v>26.86</v>
      </c>
      <c r="G387">
        <v>32.99</v>
      </c>
    </row>
    <row r="388" spans="1:7" x14ac:dyDescent="0.25">
      <c r="A388" t="s">
        <v>6</v>
      </c>
      <c r="B388">
        <v>28</v>
      </c>
      <c r="C388" t="s">
        <v>7</v>
      </c>
      <c r="D388" t="s">
        <v>8</v>
      </c>
      <c r="E388">
        <v>1000000</v>
      </c>
      <c r="F388">
        <v>28.23</v>
      </c>
      <c r="G388">
        <v>31.26</v>
      </c>
    </row>
    <row r="389" spans="1:7" x14ac:dyDescent="0.25">
      <c r="A389" t="s">
        <v>6</v>
      </c>
      <c r="B389">
        <v>28</v>
      </c>
      <c r="C389" t="s">
        <v>7</v>
      </c>
      <c r="D389" t="s">
        <v>8</v>
      </c>
      <c r="E389">
        <v>1000000</v>
      </c>
      <c r="F389">
        <v>28.51</v>
      </c>
      <c r="G389">
        <v>35.26</v>
      </c>
    </row>
    <row r="390" spans="1:7" x14ac:dyDescent="0.25">
      <c r="A390" t="s">
        <v>6</v>
      </c>
      <c r="B390">
        <v>28</v>
      </c>
      <c r="C390" t="s">
        <v>7</v>
      </c>
      <c r="D390" t="s">
        <v>8</v>
      </c>
      <c r="E390">
        <v>1000000</v>
      </c>
      <c r="F390">
        <v>30.81</v>
      </c>
      <c r="G390">
        <v>34.32</v>
      </c>
    </row>
    <row r="391" spans="1:7" x14ac:dyDescent="0.25">
      <c r="A391" t="s">
        <v>6</v>
      </c>
      <c r="B391">
        <v>28</v>
      </c>
      <c r="C391" t="s">
        <v>7</v>
      </c>
      <c r="D391" t="s">
        <v>8</v>
      </c>
      <c r="E391">
        <v>1000000</v>
      </c>
      <c r="F391">
        <v>29.43</v>
      </c>
      <c r="G391">
        <v>32.67</v>
      </c>
    </row>
    <row r="392" spans="1:7" x14ac:dyDescent="0.25">
      <c r="A392" t="s">
        <v>6</v>
      </c>
      <c r="B392">
        <v>28</v>
      </c>
      <c r="C392" t="s">
        <v>7</v>
      </c>
      <c r="D392" t="s">
        <v>8</v>
      </c>
      <c r="E392">
        <v>1000000</v>
      </c>
      <c r="F392">
        <v>27.13</v>
      </c>
      <c r="G392">
        <v>33.04</v>
      </c>
    </row>
    <row r="393" spans="1:7" x14ac:dyDescent="0.25">
      <c r="A393" t="s">
        <v>6</v>
      </c>
      <c r="B393">
        <v>28</v>
      </c>
      <c r="C393" t="s">
        <v>7</v>
      </c>
      <c r="D393" t="s">
        <v>8</v>
      </c>
      <c r="E393">
        <v>1000000</v>
      </c>
      <c r="F393">
        <v>26.65</v>
      </c>
      <c r="G393">
        <v>33.31</v>
      </c>
    </row>
    <row r="394" spans="1:7" x14ac:dyDescent="0.25">
      <c r="A394" t="s">
        <v>6</v>
      </c>
      <c r="B394">
        <v>28</v>
      </c>
      <c r="C394" t="s">
        <v>7</v>
      </c>
      <c r="D394" t="s">
        <v>8</v>
      </c>
      <c r="E394">
        <v>1000000</v>
      </c>
      <c r="F394">
        <v>28.74</v>
      </c>
      <c r="G394">
        <v>29.94</v>
      </c>
    </row>
    <row r="395" spans="1:7" x14ac:dyDescent="0.25">
      <c r="A395" t="s">
        <v>6</v>
      </c>
      <c r="B395">
        <v>28</v>
      </c>
      <c r="C395" t="s">
        <v>7</v>
      </c>
      <c r="D395" t="s">
        <v>8</v>
      </c>
      <c r="E395">
        <v>1000000</v>
      </c>
      <c r="F395">
        <v>26.02</v>
      </c>
      <c r="G395">
        <v>32.630000000000003</v>
      </c>
    </row>
    <row r="396" spans="1:7" x14ac:dyDescent="0.25">
      <c r="A396" t="s">
        <v>6</v>
      </c>
      <c r="B396">
        <v>28</v>
      </c>
      <c r="C396" t="s">
        <v>7</v>
      </c>
      <c r="D396" t="s">
        <v>8</v>
      </c>
      <c r="E396">
        <v>1000000</v>
      </c>
      <c r="F396">
        <v>30.75</v>
      </c>
      <c r="G396">
        <v>31.98</v>
      </c>
    </row>
    <row r="397" spans="1:7" x14ac:dyDescent="0.25">
      <c r="A397" t="s">
        <v>6</v>
      </c>
      <c r="B397">
        <v>28</v>
      </c>
      <c r="C397" t="s">
        <v>7</v>
      </c>
      <c r="D397" t="s">
        <v>8</v>
      </c>
      <c r="E397">
        <v>1000000</v>
      </c>
      <c r="F397">
        <v>29.77</v>
      </c>
      <c r="G397">
        <v>31.5</v>
      </c>
    </row>
    <row r="398" spans="1:7" x14ac:dyDescent="0.25">
      <c r="A398" t="s">
        <v>6</v>
      </c>
      <c r="B398">
        <v>28</v>
      </c>
      <c r="C398" t="s">
        <v>7</v>
      </c>
      <c r="D398" t="s">
        <v>8</v>
      </c>
      <c r="E398">
        <v>1000000</v>
      </c>
      <c r="F398">
        <v>27.3</v>
      </c>
      <c r="G398">
        <v>32.58</v>
      </c>
    </row>
    <row r="399" spans="1:7" x14ac:dyDescent="0.25">
      <c r="A399" t="s">
        <v>6</v>
      </c>
      <c r="B399">
        <v>28</v>
      </c>
      <c r="C399" t="s">
        <v>7</v>
      </c>
      <c r="D399" t="s">
        <v>8</v>
      </c>
      <c r="E399">
        <v>1000000</v>
      </c>
      <c r="F399">
        <v>25.43</v>
      </c>
      <c r="G399">
        <v>35.700000000000003</v>
      </c>
    </row>
    <row r="400" spans="1:7" x14ac:dyDescent="0.25">
      <c r="A400" t="s">
        <v>6</v>
      </c>
      <c r="B400">
        <v>28</v>
      </c>
      <c r="C400" t="s">
        <v>7</v>
      </c>
      <c r="D400" t="s">
        <v>8</v>
      </c>
      <c r="E400">
        <v>1000000</v>
      </c>
      <c r="F400">
        <v>30.03</v>
      </c>
      <c r="G400">
        <v>33.96</v>
      </c>
    </row>
    <row r="401" spans="1:7" x14ac:dyDescent="0.25">
      <c r="A401" t="s">
        <v>6</v>
      </c>
      <c r="B401">
        <v>28</v>
      </c>
      <c r="C401" t="s">
        <v>7</v>
      </c>
      <c r="D401" t="s">
        <v>8</v>
      </c>
      <c r="E401">
        <v>1000000</v>
      </c>
      <c r="F401">
        <v>27.83</v>
      </c>
      <c r="G401">
        <v>32.14</v>
      </c>
    </row>
    <row r="402" spans="1:7" x14ac:dyDescent="0.25">
      <c r="A402" t="s">
        <v>6</v>
      </c>
      <c r="B402">
        <v>28</v>
      </c>
      <c r="C402" t="s">
        <v>7</v>
      </c>
      <c r="D402" t="s">
        <v>8</v>
      </c>
      <c r="E402">
        <v>1000000</v>
      </c>
      <c r="F402">
        <v>29.86</v>
      </c>
      <c r="G402">
        <v>33.86</v>
      </c>
    </row>
    <row r="403" spans="1:7" x14ac:dyDescent="0.25">
      <c r="A403" t="s">
        <v>6</v>
      </c>
      <c r="B403">
        <v>56</v>
      </c>
      <c r="C403" t="s">
        <v>7</v>
      </c>
      <c r="D403" t="s">
        <v>8</v>
      </c>
      <c r="E403">
        <v>1000000</v>
      </c>
      <c r="F403">
        <v>28.61</v>
      </c>
      <c r="G403">
        <v>39.1</v>
      </c>
    </row>
    <row r="404" spans="1:7" x14ac:dyDescent="0.25">
      <c r="A404" t="s">
        <v>6</v>
      </c>
      <c r="B404">
        <v>56</v>
      </c>
      <c r="C404" t="s">
        <v>7</v>
      </c>
      <c r="D404" t="s">
        <v>8</v>
      </c>
      <c r="E404">
        <v>1000000</v>
      </c>
      <c r="F404">
        <v>30.1</v>
      </c>
      <c r="G404">
        <v>38.39</v>
      </c>
    </row>
    <row r="405" spans="1:7" x14ac:dyDescent="0.25">
      <c r="A405" t="s">
        <v>6</v>
      </c>
      <c r="B405">
        <v>56</v>
      </c>
      <c r="C405" t="s">
        <v>7</v>
      </c>
      <c r="D405" t="s">
        <v>8</v>
      </c>
      <c r="E405">
        <v>1000000</v>
      </c>
      <c r="F405">
        <v>31.01</v>
      </c>
      <c r="G405">
        <v>37.090000000000003</v>
      </c>
    </row>
    <row r="406" spans="1:7" x14ac:dyDescent="0.25">
      <c r="A406" t="s">
        <v>6</v>
      </c>
      <c r="B406">
        <v>56</v>
      </c>
      <c r="C406" t="s">
        <v>7</v>
      </c>
      <c r="D406" t="s">
        <v>8</v>
      </c>
      <c r="E406">
        <v>1000000</v>
      </c>
      <c r="F406">
        <v>31.07</v>
      </c>
      <c r="G406">
        <v>36.03</v>
      </c>
    </row>
    <row r="407" spans="1:7" x14ac:dyDescent="0.25">
      <c r="A407" t="s">
        <v>6</v>
      </c>
      <c r="B407">
        <v>56</v>
      </c>
      <c r="C407" t="s">
        <v>7</v>
      </c>
      <c r="D407" t="s">
        <v>8</v>
      </c>
      <c r="E407">
        <v>1000000</v>
      </c>
      <c r="F407">
        <v>30.32</v>
      </c>
      <c r="G407">
        <v>38.049999999999997</v>
      </c>
    </row>
    <row r="408" spans="1:7" x14ac:dyDescent="0.25">
      <c r="A408" t="s">
        <v>6</v>
      </c>
      <c r="B408">
        <v>56</v>
      </c>
      <c r="C408" t="s">
        <v>7</v>
      </c>
      <c r="D408" t="s">
        <v>8</v>
      </c>
      <c r="E408">
        <v>1000000</v>
      </c>
      <c r="F408">
        <v>31.93</v>
      </c>
      <c r="G408">
        <v>37.590000000000003</v>
      </c>
    </row>
    <row r="409" spans="1:7" x14ac:dyDescent="0.25">
      <c r="A409" t="s">
        <v>6</v>
      </c>
      <c r="B409">
        <v>56</v>
      </c>
      <c r="C409" t="s">
        <v>7</v>
      </c>
      <c r="D409" t="s">
        <v>8</v>
      </c>
      <c r="E409">
        <v>1000000</v>
      </c>
      <c r="F409">
        <v>29.4</v>
      </c>
      <c r="G409">
        <v>38.340000000000003</v>
      </c>
    </row>
    <row r="410" spans="1:7" x14ac:dyDescent="0.25">
      <c r="A410" t="s">
        <v>6</v>
      </c>
      <c r="B410">
        <v>56</v>
      </c>
      <c r="C410" t="s">
        <v>7</v>
      </c>
      <c r="D410" t="s">
        <v>8</v>
      </c>
      <c r="E410">
        <v>1000000</v>
      </c>
      <c r="F410">
        <v>30.79</v>
      </c>
      <c r="G410">
        <v>37.950000000000003</v>
      </c>
    </row>
    <row r="411" spans="1:7" x14ac:dyDescent="0.25">
      <c r="A411" t="s">
        <v>6</v>
      </c>
      <c r="B411">
        <v>56</v>
      </c>
      <c r="C411" t="s">
        <v>7</v>
      </c>
      <c r="D411" t="s">
        <v>8</v>
      </c>
      <c r="E411">
        <v>1000000</v>
      </c>
      <c r="F411">
        <v>31.18</v>
      </c>
      <c r="G411">
        <v>38.57</v>
      </c>
    </row>
    <row r="412" spans="1:7" x14ac:dyDescent="0.25">
      <c r="A412" t="s">
        <v>6</v>
      </c>
      <c r="B412">
        <v>56</v>
      </c>
      <c r="C412" t="s">
        <v>7</v>
      </c>
      <c r="D412" t="s">
        <v>8</v>
      </c>
      <c r="E412">
        <v>1000000</v>
      </c>
      <c r="F412">
        <v>31.77</v>
      </c>
      <c r="G412">
        <v>36.200000000000003</v>
      </c>
    </row>
    <row r="413" spans="1:7" x14ac:dyDescent="0.25">
      <c r="A413" t="s">
        <v>6</v>
      </c>
      <c r="B413">
        <v>56</v>
      </c>
      <c r="C413" t="s">
        <v>7</v>
      </c>
      <c r="D413" t="s">
        <v>8</v>
      </c>
      <c r="E413">
        <v>1000000</v>
      </c>
      <c r="F413">
        <v>32.07</v>
      </c>
      <c r="G413">
        <v>38.979999999999997</v>
      </c>
    </row>
    <row r="414" spans="1:7" x14ac:dyDescent="0.25">
      <c r="A414" t="s">
        <v>6</v>
      </c>
      <c r="B414">
        <v>56</v>
      </c>
      <c r="C414" t="s">
        <v>7</v>
      </c>
      <c r="D414" t="s">
        <v>8</v>
      </c>
      <c r="E414">
        <v>1000000</v>
      </c>
      <c r="F414">
        <v>29.31</v>
      </c>
      <c r="G414">
        <v>37.299999999999997</v>
      </c>
    </row>
    <row r="415" spans="1:7" x14ac:dyDescent="0.25">
      <c r="A415" t="s">
        <v>6</v>
      </c>
      <c r="B415">
        <v>56</v>
      </c>
      <c r="C415" t="s">
        <v>7</v>
      </c>
      <c r="D415" t="s">
        <v>8</v>
      </c>
      <c r="E415">
        <v>1000000</v>
      </c>
      <c r="F415">
        <v>28.7</v>
      </c>
      <c r="G415">
        <v>40.11</v>
      </c>
    </row>
    <row r="416" spans="1:7" x14ac:dyDescent="0.25">
      <c r="A416" t="s">
        <v>6</v>
      </c>
      <c r="B416">
        <v>56</v>
      </c>
      <c r="C416" t="s">
        <v>7</v>
      </c>
      <c r="D416" t="s">
        <v>8</v>
      </c>
      <c r="E416">
        <v>1000000</v>
      </c>
      <c r="F416">
        <v>32.92</v>
      </c>
      <c r="G416">
        <v>35.97</v>
      </c>
    </row>
    <row r="417" spans="1:7" x14ac:dyDescent="0.25">
      <c r="A417" t="s">
        <v>6</v>
      </c>
      <c r="B417">
        <v>56</v>
      </c>
      <c r="C417" t="s">
        <v>7</v>
      </c>
      <c r="D417" t="s">
        <v>8</v>
      </c>
      <c r="E417">
        <v>1000000</v>
      </c>
      <c r="F417">
        <v>31.5</v>
      </c>
      <c r="G417">
        <v>39.6</v>
      </c>
    </row>
    <row r="418" spans="1:7" x14ac:dyDescent="0.25">
      <c r="A418" t="s">
        <v>6</v>
      </c>
      <c r="B418">
        <v>56</v>
      </c>
      <c r="C418" t="s">
        <v>7</v>
      </c>
      <c r="D418" t="s">
        <v>8</v>
      </c>
      <c r="E418">
        <v>1000000</v>
      </c>
      <c r="F418">
        <v>29.88</v>
      </c>
      <c r="G418">
        <v>37.299999999999997</v>
      </c>
    </row>
    <row r="419" spans="1:7" x14ac:dyDescent="0.25">
      <c r="A419" t="s">
        <v>6</v>
      </c>
      <c r="B419">
        <v>56</v>
      </c>
      <c r="C419" t="s">
        <v>7</v>
      </c>
      <c r="D419" t="s">
        <v>8</v>
      </c>
      <c r="E419">
        <v>1000000</v>
      </c>
      <c r="F419">
        <v>33.33</v>
      </c>
      <c r="G419">
        <v>36.020000000000003</v>
      </c>
    </row>
    <row r="420" spans="1:7" x14ac:dyDescent="0.25">
      <c r="A420" t="s">
        <v>6</v>
      </c>
      <c r="B420">
        <v>56</v>
      </c>
      <c r="C420" t="s">
        <v>7</v>
      </c>
      <c r="D420" t="s">
        <v>8</v>
      </c>
      <c r="E420">
        <v>1000000</v>
      </c>
      <c r="F420">
        <v>31.17</v>
      </c>
      <c r="G420">
        <v>36.270000000000003</v>
      </c>
    </row>
    <row r="421" spans="1:7" x14ac:dyDescent="0.25">
      <c r="A421" t="s">
        <v>6</v>
      </c>
      <c r="B421">
        <v>56</v>
      </c>
      <c r="C421" t="s">
        <v>7</v>
      </c>
      <c r="D421" t="s">
        <v>8</v>
      </c>
      <c r="E421">
        <v>1000000</v>
      </c>
      <c r="F421">
        <v>32.770000000000003</v>
      </c>
      <c r="G421">
        <v>36.520000000000003</v>
      </c>
    </row>
    <row r="422" spans="1:7" x14ac:dyDescent="0.25">
      <c r="A422" t="s">
        <v>6</v>
      </c>
      <c r="B422">
        <v>56</v>
      </c>
      <c r="C422" t="s">
        <v>7</v>
      </c>
      <c r="D422" t="s">
        <v>8</v>
      </c>
      <c r="E422">
        <v>1000000</v>
      </c>
      <c r="F422">
        <v>31.1</v>
      </c>
      <c r="G422">
        <v>37.64</v>
      </c>
    </row>
    <row r="423" spans="1:7" x14ac:dyDescent="0.25">
      <c r="A423" t="s">
        <v>6</v>
      </c>
      <c r="B423">
        <v>56</v>
      </c>
      <c r="C423" t="s">
        <v>7</v>
      </c>
      <c r="D423" t="s">
        <v>8</v>
      </c>
      <c r="E423">
        <v>1000000</v>
      </c>
      <c r="F423">
        <v>34.090000000000003</v>
      </c>
      <c r="G423">
        <v>37.78</v>
      </c>
    </row>
    <row r="424" spans="1:7" x14ac:dyDescent="0.25">
      <c r="A424" t="s">
        <v>6</v>
      </c>
      <c r="B424">
        <v>56</v>
      </c>
      <c r="C424" t="s">
        <v>7</v>
      </c>
      <c r="D424" t="s">
        <v>8</v>
      </c>
      <c r="E424">
        <v>1000000</v>
      </c>
      <c r="F424">
        <v>33.630000000000003</v>
      </c>
      <c r="G424">
        <v>36.14</v>
      </c>
    </row>
    <row r="425" spans="1:7" x14ac:dyDescent="0.25">
      <c r="A425" t="s">
        <v>6</v>
      </c>
      <c r="B425">
        <v>56</v>
      </c>
      <c r="C425" t="s">
        <v>7</v>
      </c>
      <c r="D425" t="s">
        <v>8</v>
      </c>
      <c r="E425">
        <v>1000000</v>
      </c>
      <c r="F425">
        <v>30.63</v>
      </c>
      <c r="G425">
        <v>36.96</v>
      </c>
    </row>
    <row r="426" spans="1:7" x14ac:dyDescent="0.25">
      <c r="A426" t="s">
        <v>6</v>
      </c>
      <c r="B426">
        <v>56</v>
      </c>
      <c r="C426" t="s">
        <v>7</v>
      </c>
      <c r="D426" t="s">
        <v>8</v>
      </c>
      <c r="E426">
        <v>1000000</v>
      </c>
      <c r="F426">
        <v>32.46</v>
      </c>
      <c r="G426">
        <v>40.21</v>
      </c>
    </row>
    <row r="427" spans="1:7" x14ac:dyDescent="0.25">
      <c r="A427" t="s">
        <v>6</v>
      </c>
      <c r="B427">
        <v>56</v>
      </c>
      <c r="C427" t="s">
        <v>7</v>
      </c>
      <c r="D427" t="s">
        <v>8</v>
      </c>
      <c r="E427">
        <v>1000000</v>
      </c>
      <c r="F427">
        <v>31.97</v>
      </c>
      <c r="G427">
        <v>39.590000000000003</v>
      </c>
    </row>
    <row r="428" spans="1:7" x14ac:dyDescent="0.25">
      <c r="A428" t="s">
        <v>6</v>
      </c>
      <c r="B428">
        <v>56</v>
      </c>
      <c r="C428" t="s">
        <v>7</v>
      </c>
      <c r="D428" t="s">
        <v>8</v>
      </c>
      <c r="E428">
        <v>1000000</v>
      </c>
      <c r="F428">
        <v>33.049999999999997</v>
      </c>
      <c r="G428">
        <v>37.65</v>
      </c>
    </row>
    <row r="429" spans="1:7" x14ac:dyDescent="0.25">
      <c r="A429" t="s">
        <v>6</v>
      </c>
      <c r="B429">
        <v>56</v>
      </c>
      <c r="C429" t="s">
        <v>7</v>
      </c>
      <c r="D429" t="s">
        <v>8</v>
      </c>
      <c r="E429">
        <v>1000000</v>
      </c>
      <c r="F429">
        <v>29.55</v>
      </c>
      <c r="G429">
        <v>37.06</v>
      </c>
    </row>
    <row r="430" spans="1:7" x14ac:dyDescent="0.25">
      <c r="A430" t="s">
        <v>6</v>
      </c>
      <c r="B430">
        <v>56</v>
      </c>
      <c r="C430" t="s">
        <v>7</v>
      </c>
      <c r="D430" t="s">
        <v>8</v>
      </c>
      <c r="E430">
        <v>1000000</v>
      </c>
      <c r="F430">
        <v>32.03</v>
      </c>
      <c r="G430">
        <v>37.18</v>
      </c>
    </row>
    <row r="431" spans="1:7" x14ac:dyDescent="0.25">
      <c r="A431" t="s">
        <v>6</v>
      </c>
      <c r="B431">
        <v>56</v>
      </c>
      <c r="C431" t="s">
        <v>7</v>
      </c>
      <c r="D431" t="s">
        <v>8</v>
      </c>
      <c r="E431">
        <v>1000000</v>
      </c>
      <c r="F431">
        <v>32.590000000000003</v>
      </c>
      <c r="G431">
        <v>37.92</v>
      </c>
    </row>
    <row r="432" spans="1:7" x14ac:dyDescent="0.25">
      <c r="A432" t="s">
        <v>6</v>
      </c>
      <c r="B432">
        <v>56</v>
      </c>
      <c r="C432" t="s">
        <v>7</v>
      </c>
      <c r="D432" t="s">
        <v>8</v>
      </c>
      <c r="E432">
        <v>1000000</v>
      </c>
      <c r="F432">
        <v>28.36</v>
      </c>
      <c r="G432">
        <v>35.47</v>
      </c>
    </row>
    <row r="433" spans="1:7" x14ac:dyDescent="0.25">
      <c r="A433" t="s">
        <v>6</v>
      </c>
      <c r="B433">
        <v>56</v>
      </c>
      <c r="C433" t="s">
        <v>7</v>
      </c>
      <c r="D433" t="s">
        <v>8</v>
      </c>
      <c r="E433">
        <v>1000000</v>
      </c>
      <c r="F433">
        <v>29.23</v>
      </c>
      <c r="G433">
        <v>36.61</v>
      </c>
    </row>
    <row r="434" spans="1:7" x14ac:dyDescent="0.25">
      <c r="A434" t="s">
        <v>6</v>
      </c>
      <c r="B434">
        <v>56</v>
      </c>
      <c r="C434" t="s">
        <v>7</v>
      </c>
      <c r="D434" t="s">
        <v>8</v>
      </c>
      <c r="E434">
        <v>1000000</v>
      </c>
      <c r="F434">
        <v>27.94</v>
      </c>
      <c r="G434">
        <v>34.5</v>
      </c>
    </row>
    <row r="435" spans="1:7" x14ac:dyDescent="0.25">
      <c r="A435" t="s">
        <v>6</v>
      </c>
      <c r="B435">
        <v>56</v>
      </c>
      <c r="C435" t="s">
        <v>7</v>
      </c>
      <c r="D435" t="s">
        <v>8</v>
      </c>
      <c r="E435">
        <v>1000000</v>
      </c>
      <c r="F435">
        <v>30.6</v>
      </c>
      <c r="G435">
        <v>37.6</v>
      </c>
    </row>
    <row r="436" spans="1:7" x14ac:dyDescent="0.25">
      <c r="A436" t="s">
        <v>6</v>
      </c>
      <c r="B436">
        <v>56</v>
      </c>
      <c r="C436" t="s">
        <v>7</v>
      </c>
      <c r="D436" t="s">
        <v>8</v>
      </c>
      <c r="E436">
        <v>1000000</v>
      </c>
      <c r="F436">
        <v>32.08</v>
      </c>
      <c r="G436">
        <v>37.97</v>
      </c>
    </row>
    <row r="437" spans="1:7" x14ac:dyDescent="0.25">
      <c r="A437" t="s">
        <v>6</v>
      </c>
      <c r="B437">
        <v>56</v>
      </c>
      <c r="C437" t="s">
        <v>7</v>
      </c>
      <c r="D437" t="s">
        <v>8</v>
      </c>
      <c r="E437">
        <v>1000000</v>
      </c>
      <c r="F437">
        <v>33.25</v>
      </c>
      <c r="G437">
        <v>36.28</v>
      </c>
    </row>
    <row r="438" spans="1:7" x14ac:dyDescent="0.25">
      <c r="A438" t="s">
        <v>6</v>
      </c>
      <c r="B438">
        <v>56</v>
      </c>
      <c r="C438" t="s">
        <v>7</v>
      </c>
      <c r="D438" t="s">
        <v>8</v>
      </c>
      <c r="E438">
        <v>1000000</v>
      </c>
      <c r="F438">
        <v>31.11</v>
      </c>
      <c r="G438">
        <v>39.36</v>
      </c>
    </row>
    <row r="439" spans="1:7" x14ac:dyDescent="0.25">
      <c r="A439" t="s">
        <v>6</v>
      </c>
      <c r="B439">
        <v>56</v>
      </c>
      <c r="C439" t="s">
        <v>7</v>
      </c>
      <c r="D439" t="s">
        <v>8</v>
      </c>
      <c r="E439">
        <v>1000000</v>
      </c>
      <c r="F439">
        <v>33.44</v>
      </c>
      <c r="G439">
        <v>35.159999999999997</v>
      </c>
    </row>
    <row r="440" spans="1:7" x14ac:dyDescent="0.25">
      <c r="A440" t="s">
        <v>6</v>
      </c>
      <c r="B440">
        <v>56</v>
      </c>
      <c r="C440" t="s">
        <v>7</v>
      </c>
      <c r="D440" t="s">
        <v>8</v>
      </c>
      <c r="E440">
        <v>1000000</v>
      </c>
      <c r="F440">
        <v>28.93</v>
      </c>
      <c r="G440">
        <v>34.799999999999997</v>
      </c>
    </row>
    <row r="441" spans="1:7" x14ac:dyDescent="0.25">
      <c r="A441" t="s">
        <v>6</v>
      </c>
      <c r="B441">
        <v>56</v>
      </c>
      <c r="C441" t="s">
        <v>7</v>
      </c>
      <c r="D441" t="s">
        <v>8</v>
      </c>
      <c r="E441">
        <v>1000000</v>
      </c>
      <c r="F441">
        <v>28.44</v>
      </c>
      <c r="G441">
        <v>37.340000000000003</v>
      </c>
    </row>
    <row r="442" spans="1:7" x14ac:dyDescent="0.25">
      <c r="A442" t="s">
        <v>6</v>
      </c>
      <c r="B442">
        <v>56</v>
      </c>
      <c r="C442" t="s">
        <v>7</v>
      </c>
      <c r="D442" t="s">
        <v>8</v>
      </c>
      <c r="E442">
        <v>1000000</v>
      </c>
      <c r="F442">
        <v>30.92</v>
      </c>
      <c r="G442">
        <v>38.57</v>
      </c>
    </row>
    <row r="443" spans="1:7" x14ac:dyDescent="0.25">
      <c r="A443" t="s">
        <v>6</v>
      </c>
      <c r="B443">
        <v>56</v>
      </c>
      <c r="C443" t="s">
        <v>7</v>
      </c>
      <c r="D443" t="s">
        <v>8</v>
      </c>
      <c r="E443">
        <v>1000000</v>
      </c>
      <c r="F443">
        <v>31.58</v>
      </c>
      <c r="G443">
        <v>39.53</v>
      </c>
    </row>
    <row r="444" spans="1:7" x14ac:dyDescent="0.25">
      <c r="A444" t="s">
        <v>6</v>
      </c>
      <c r="B444">
        <v>56</v>
      </c>
      <c r="C444" t="s">
        <v>7</v>
      </c>
      <c r="D444" t="s">
        <v>8</v>
      </c>
      <c r="E444">
        <v>1000000</v>
      </c>
      <c r="F444">
        <v>30.95</v>
      </c>
      <c r="G444">
        <v>36.31</v>
      </c>
    </row>
    <row r="445" spans="1:7" x14ac:dyDescent="0.25">
      <c r="A445" t="s">
        <v>6</v>
      </c>
      <c r="B445">
        <v>56</v>
      </c>
      <c r="C445" t="s">
        <v>7</v>
      </c>
      <c r="D445" t="s">
        <v>8</v>
      </c>
      <c r="E445">
        <v>1000000</v>
      </c>
      <c r="F445">
        <v>27.9</v>
      </c>
      <c r="G445">
        <v>38.619999999999997</v>
      </c>
    </row>
    <row r="446" spans="1:7" x14ac:dyDescent="0.25">
      <c r="A446" t="s">
        <v>6</v>
      </c>
      <c r="B446">
        <v>56</v>
      </c>
      <c r="C446" t="s">
        <v>7</v>
      </c>
      <c r="D446" t="s">
        <v>8</v>
      </c>
      <c r="E446">
        <v>1000000</v>
      </c>
      <c r="F446">
        <v>30.87</v>
      </c>
      <c r="G446">
        <v>36.94</v>
      </c>
    </row>
    <row r="447" spans="1:7" x14ac:dyDescent="0.25">
      <c r="A447" t="s">
        <v>6</v>
      </c>
      <c r="B447">
        <v>56</v>
      </c>
      <c r="C447" t="s">
        <v>7</v>
      </c>
      <c r="D447" t="s">
        <v>8</v>
      </c>
      <c r="E447">
        <v>1000000</v>
      </c>
      <c r="F447">
        <v>29.04</v>
      </c>
      <c r="G447">
        <v>36.74</v>
      </c>
    </row>
    <row r="448" spans="1:7" x14ac:dyDescent="0.25">
      <c r="A448" t="s">
        <v>6</v>
      </c>
      <c r="B448">
        <v>56</v>
      </c>
      <c r="C448" t="s">
        <v>7</v>
      </c>
      <c r="D448" t="s">
        <v>8</v>
      </c>
      <c r="E448">
        <v>1000000</v>
      </c>
      <c r="F448">
        <v>32</v>
      </c>
      <c r="G448">
        <v>38.33</v>
      </c>
    </row>
    <row r="449" spans="1:7" x14ac:dyDescent="0.25">
      <c r="A449" t="s">
        <v>6</v>
      </c>
      <c r="B449">
        <v>56</v>
      </c>
      <c r="C449" t="s">
        <v>7</v>
      </c>
      <c r="D449" t="s">
        <v>8</v>
      </c>
      <c r="E449">
        <v>1000000</v>
      </c>
      <c r="F449">
        <v>31.55</v>
      </c>
      <c r="G449">
        <v>37.979999999999997</v>
      </c>
    </row>
    <row r="450" spans="1:7" x14ac:dyDescent="0.25">
      <c r="A450" t="s">
        <v>6</v>
      </c>
      <c r="B450">
        <v>56</v>
      </c>
      <c r="C450" t="s">
        <v>7</v>
      </c>
      <c r="D450" t="s">
        <v>8</v>
      </c>
      <c r="E450">
        <v>1000000</v>
      </c>
      <c r="F450">
        <v>29.59</v>
      </c>
      <c r="G450">
        <v>34.64</v>
      </c>
    </row>
    <row r="451" spans="1:7" x14ac:dyDescent="0.25">
      <c r="A451" t="s">
        <v>6</v>
      </c>
      <c r="B451">
        <v>56</v>
      </c>
      <c r="C451" t="s">
        <v>7</v>
      </c>
      <c r="D451" t="s">
        <v>8</v>
      </c>
      <c r="E451">
        <v>1000000</v>
      </c>
      <c r="F451">
        <v>30.23</v>
      </c>
      <c r="G451">
        <v>39.21</v>
      </c>
    </row>
    <row r="452" spans="1:7" x14ac:dyDescent="0.25">
      <c r="A452" t="s">
        <v>6</v>
      </c>
      <c r="B452">
        <v>56</v>
      </c>
      <c r="C452" t="s">
        <v>7</v>
      </c>
      <c r="D452" t="s">
        <v>8</v>
      </c>
      <c r="E452">
        <v>1000000</v>
      </c>
      <c r="F452">
        <v>29.41</v>
      </c>
      <c r="G452">
        <v>39.07</v>
      </c>
    </row>
    <row r="453" spans="1:7" x14ac:dyDescent="0.25">
      <c r="A453" t="s">
        <v>6</v>
      </c>
      <c r="B453">
        <v>56</v>
      </c>
      <c r="C453" t="s">
        <v>7</v>
      </c>
      <c r="D453" t="s">
        <v>8</v>
      </c>
      <c r="E453">
        <v>1000000</v>
      </c>
      <c r="F453">
        <v>30.91</v>
      </c>
      <c r="G453">
        <v>36.06</v>
      </c>
    </row>
    <row r="454" spans="1:7" x14ac:dyDescent="0.25">
      <c r="A454" t="s">
        <v>6</v>
      </c>
      <c r="B454">
        <v>56</v>
      </c>
      <c r="C454" t="s">
        <v>7</v>
      </c>
      <c r="D454" t="s">
        <v>8</v>
      </c>
      <c r="E454">
        <v>1000000</v>
      </c>
      <c r="F454">
        <v>32.43</v>
      </c>
      <c r="G454">
        <v>37.590000000000003</v>
      </c>
    </row>
    <row r="455" spans="1:7" x14ac:dyDescent="0.25">
      <c r="A455" t="s">
        <v>6</v>
      </c>
      <c r="B455">
        <v>56</v>
      </c>
      <c r="C455" t="s">
        <v>7</v>
      </c>
      <c r="D455" t="s">
        <v>8</v>
      </c>
      <c r="E455">
        <v>1000000</v>
      </c>
      <c r="F455">
        <v>29.52</v>
      </c>
      <c r="G455">
        <v>37.74</v>
      </c>
    </row>
    <row r="456" spans="1:7" x14ac:dyDescent="0.25">
      <c r="A456" t="s">
        <v>6</v>
      </c>
      <c r="B456">
        <v>56</v>
      </c>
      <c r="C456" t="s">
        <v>7</v>
      </c>
      <c r="D456" t="s">
        <v>8</v>
      </c>
      <c r="E456">
        <v>1000000</v>
      </c>
      <c r="F456">
        <v>31.76</v>
      </c>
      <c r="G456">
        <v>37.39</v>
      </c>
    </row>
    <row r="457" spans="1:7" x14ac:dyDescent="0.25">
      <c r="A457" t="s">
        <v>6</v>
      </c>
      <c r="B457">
        <v>56</v>
      </c>
      <c r="C457" t="s">
        <v>7</v>
      </c>
      <c r="D457" t="s">
        <v>8</v>
      </c>
      <c r="E457">
        <v>1000000</v>
      </c>
      <c r="F457">
        <v>30.2</v>
      </c>
      <c r="G457">
        <v>36.17</v>
      </c>
    </row>
    <row r="458" spans="1:7" x14ac:dyDescent="0.25">
      <c r="A458" t="s">
        <v>6</v>
      </c>
      <c r="B458">
        <v>56</v>
      </c>
      <c r="C458" t="s">
        <v>7</v>
      </c>
      <c r="D458" t="s">
        <v>8</v>
      </c>
      <c r="E458">
        <v>1000000</v>
      </c>
      <c r="F458">
        <v>29.81</v>
      </c>
      <c r="G458">
        <v>35.99</v>
      </c>
    </row>
    <row r="459" spans="1:7" x14ac:dyDescent="0.25">
      <c r="A459" t="s">
        <v>6</v>
      </c>
      <c r="B459">
        <v>56</v>
      </c>
      <c r="C459" t="s">
        <v>7</v>
      </c>
      <c r="D459" t="s">
        <v>8</v>
      </c>
      <c r="E459">
        <v>1000000</v>
      </c>
      <c r="F459">
        <v>30.84</v>
      </c>
      <c r="G459">
        <v>36.96</v>
      </c>
    </row>
    <row r="460" spans="1:7" x14ac:dyDescent="0.25">
      <c r="A460" t="s">
        <v>6</v>
      </c>
      <c r="B460">
        <v>56</v>
      </c>
      <c r="C460" t="s">
        <v>7</v>
      </c>
      <c r="D460" t="s">
        <v>8</v>
      </c>
      <c r="E460">
        <v>1000000</v>
      </c>
      <c r="F460">
        <v>29.45</v>
      </c>
      <c r="G460">
        <v>38.76</v>
      </c>
    </row>
    <row r="461" spans="1:7" x14ac:dyDescent="0.25">
      <c r="A461" t="s">
        <v>6</v>
      </c>
      <c r="B461">
        <v>56</v>
      </c>
      <c r="C461" t="s">
        <v>7</v>
      </c>
      <c r="D461" t="s">
        <v>8</v>
      </c>
      <c r="E461">
        <v>1000000</v>
      </c>
      <c r="F461">
        <v>30.17</v>
      </c>
      <c r="G461">
        <v>37.82</v>
      </c>
    </row>
    <row r="462" spans="1:7" x14ac:dyDescent="0.25">
      <c r="A462" t="s">
        <v>6</v>
      </c>
      <c r="B462">
        <v>56</v>
      </c>
      <c r="C462" t="s">
        <v>7</v>
      </c>
      <c r="D462" t="s">
        <v>8</v>
      </c>
      <c r="E462">
        <v>1000000</v>
      </c>
      <c r="F462">
        <v>29.2</v>
      </c>
      <c r="G462">
        <v>36.44</v>
      </c>
    </row>
    <row r="463" spans="1:7" x14ac:dyDescent="0.25">
      <c r="A463" t="s">
        <v>6</v>
      </c>
      <c r="B463">
        <v>56</v>
      </c>
      <c r="C463" t="s">
        <v>7</v>
      </c>
      <c r="D463" t="s">
        <v>8</v>
      </c>
      <c r="E463">
        <v>1000000</v>
      </c>
      <c r="F463">
        <v>33.950000000000003</v>
      </c>
      <c r="G463">
        <v>38.159999999999997</v>
      </c>
    </row>
    <row r="464" spans="1:7" x14ac:dyDescent="0.25">
      <c r="A464" t="s">
        <v>6</v>
      </c>
      <c r="B464">
        <v>56</v>
      </c>
      <c r="C464" t="s">
        <v>7</v>
      </c>
      <c r="D464" t="s">
        <v>8</v>
      </c>
      <c r="E464">
        <v>1000000</v>
      </c>
      <c r="F464">
        <v>31.05</v>
      </c>
      <c r="G464">
        <v>32.729999999999997</v>
      </c>
    </row>
    <row r="465" spans="1:7" x14ac:dyDescent="0.25">
      <c r="A465" t="s">
        <v>6</v>
      </c>
      <c r="B465">
        <v>56</v>
      </c>
      <c r="C465" t="s">
        <v>7</v>
      </c>
      <c r="D465" t="s">
        <v>8</v>
      </c>
      <c r="E465">
        <v>1000000</v>
      </c>
      <c r="F465">
        <v>29.95</v>
      </c>
      <c r="G465">
        <v>38.72</v>
      </c>
    </row>
    <row r="466" spans="1:7" x14ac:dyDescent="0.25">
      <c r="A466" t="s">
        <v>6</v>
      </c>
      <c r="B466">
        <v>56</v>
      </c>
      <c r="C466" t="s">
        <v>7</v>
      </c>
      <c r="D466" t="s">
        <v>8</v>
      </c>
      <c r="E466">
        <v>1000000</v>
      </c>
      <c r="F466">
        <v>31.32</v>
      </c>
      <c r="G466">
        <v>34.39</v>
      </c>
    </row>
    <row r="467" spans="1:7" x14ac:dyDescent="0.25">
      <c r="A467" t="s">
        <v>6</v>
      </c>
      <c r="B467">
        <v>56</v>
      </c>
      <c r="C467" t="s">
        <v>7</v>
      </c>
      <c r="D467" t="s">
        <v>8</v>
      </c>
      <c r="E467">
        <v>1000000</v>
      </c>
      <c r="F467">
        <v>30.83</v>
      </c>
      <c r="G467">
        <v>36.46</v>
      </c>
    </row>
    <row r="468" spans="1:7" x14ac:dyDescent="0.25">
      <c r="A468" t="s">
        <v>6</v>
      </c>
      <c r="B468">
        <v>56</v>
      </c>
      <c r="C468" t="s">
        <v>7</v>
      </c>
      <c r="D468" t="s">
        <v>8</v>
      </c>
      <c r="E468">
        <v>1000000</v>
      </c>
      <c r="F468">
        <v>30.67</v>
      </c>
      <c r="G468">
        <v>35.32</v>
      </c>
    </row>
    <row r="469" spans="1:7" x14ac:dyDescent="0.25">
      <c r="A469" t="s">
        <v>6</v>
      </c>
      <c r="B469">
        <v>56</v>
      </c>
      <c r="C469" t="s">
        <v>7</v>
      </c>
      <c r="D469" t="s">
        <v>8</v>
      </c>
      <c r="E469">
        <v>1000000</v>
      </c>
      <c r="F469">
        <v>31.92</v>
      </c>
      <c r="G469">
        <v>35.06</v>
      </c>
    </row>
    <row r="470" spans="1:7" x14ac:dyDescent="0.25">
      <c r="A470" t="s">
        <v>6</v>
      </c>
      <c r="B470">
        <v>56</v>
      </c>
      <c r="C470" t="s">
        <v>7</v>
      </c>
      <c r="D470" t="s">
        <v>8</v>
      </c>
      <c r="E470">
        <v>1000000</v>
      </c>
      <c r="F470">
        <v>32.14</v>
      </c>
      <c r="G470">
        <v>38.74</v>
      </c>
    </row>
    <row r="471" spans="1:7" x14ac:dyDescent="0.25">
      <c r="A471" t="s">
        <v>6</v>
      </c>
      <c r="B471">
        <v>56</v>
      </c>
      <c r="C471" t="s">
        <v>7</v>
      </c>
      <c r="D471" t="s">
        <v>8</v>
      </c>
      <c r="E471">
        <v>1000000</v>
      </c>
      <c r="F471">
        <v>30.2</v>
      </c>
      <c r="G471">
        <v>36.299999999999997</v>
      </c>
    </row>
    <row r="472" spans="1:7" x14ac:dyDescent="0.25">
      <c r="A472" t="s">
        <v>6</v>
      </c>
      <c r="B472">
        <v>56</v>
      </c>
      <c r="C472" t="s">
        <v>7</v>
      </c>
      <c r="D472" t="s">
        <v>8</v>
      </c>
      <c r="E472">
        <v>1000000</v>
      </c>
      <c r="F472">
        <v>30.14</v>
      </c>
      <c r="G472">
        <v>37.520000000000003</v>
      </c>
    </row>
    <row r="473" spans="1:7" x14ac:dyDescent="0.25">
      <c r="A473" t="s">
        <v>6</v>
      </c>
      <c r="B473">
        <v>56</v>
      </c>
      <c r="C473" t="s">
        <v>7</v>
      </c>
      <c r="D473" t="s">
        <v>8</v>
      </c>
      <c r="E473">
        <v>1000000</v>
      </c>
      <c r="F473">
        <v>30.59</v>
      </c>
      <c r="G473">
        <v>36.93</v>
      </c>
    </row>
    <row r="474" spans="1:7" x14ac:dyDescent="0.25">
      <c r="A474" t="s">
        <v>6</v>
      </c>
      <c r="B474">
        <v>56</v>
      </c>
      <c r="C474" t="s">
        <v>7</v>
      </c>
      <c r="D474" t="s">
        <v>8</v>
      </c>
      <c r="E474">
        <v>1000000</v>
      </c>
      <c r="F474">
        <v>27.55</v>
      </c>
      <c r="G474">
        <v>37.72</v>
      </c>
    </row>
    <row r="475" spans="1:7" x14ac:dyDescent="0.25">
      <c r="A475" t="s">
        <v>6</v>
      </c>
      <c r="B475">
        <v>56</v>
      </c>
      <c r="C475" t="s">
        <v>7</v>
      </c>
      <c r="D475" t="s">
        <v>8</v>
      </c>
      <c r="E475">
        <v>1000000</v>
      </c>
      <c r="F475">
        <v>28.73</v>
      </c>
      <c r="G475">
        <v>37.119999999999997</v>
      </c>
    </row>
    <row r="476" spans="1:7" x14ac:dyDescent="0.25">
      <c r="A476" t="s">
        <v>6</v>
      </c>
      <c r="B476">
        <v>56</v>
      </c>
      <c r="C476" t="s">
        <v>7</v>
      </c>
      <c r="D476" t="s">
        <v>8</v>
      </c>
      <c r="E476">
        <v>1000000</v>
      </c>
      <c r="F476">
        <v>33.049999999999997</v>
      </c>
      <c r="G476">
        <v>35.08</v>
      </c>
    </row>
    <row r="477" spans="1:7" x14ac:dyDescent="0.25">
      <c r="A477" t="s">
        <v>6</v>
      </c>
      <c r="B477">
        <v>56</v>
      </c>
      <c r="C477" t="s">
        <v>7</v>
      </c>
      <c r="D477" t="s">
        <v>8</v>
      </c>
      <c r="E477">
        <v>1000000</v>
      </c>
      <c r="F477">
        <v>33.47</v>
      </c>
      <c r="G477">
        <v>38.49</v>
      </c>
    </row>
    <row r="478" spans="1:7" x14ac:dyDescent="0.25">
      <c r="A478" t="s">
        <v>6</v>
      </c>
      <c r="B478">
        <v>56</v>
      </c>
      <c r="C478" t="s">
        <v>7</v>
      </c>
      <c r="D478" t="s">
        <v>8</v>
      </c>
      <c r="E478">
        <v>1000000</v>
      </c>
      <c r="F478">
        <v>30.63</v>
      </c>
      <c r="G478">
        <v>36.26</v>
      </c>
    </row>
    <row r="479" spans="1:7" x14ac:dyDescent="0.25">
      <c r="A479" t="s">
        <v>6</v>
      </c>
      <c r="B479">
        <v>56</v>
      </c>
      <c r="C479" t="s">
        <v>7</v>
      </c>
      <c r="D479" t="s">
        <v>8</v>
      </c>
      <c r="E479">
        <v>1000000</v>
      </c>
      <c r="F479">
        <v>31.86</v>
      </c>
      <c r="G479">
        <v>34.67</v>
      </c>
    </row>
    <row r="480" spans="1:7" x14ac:dyDescent="0.25">
      <c r="A480" t="s">
        <v>6</v>
      </c>
      <c r="B480">
        <v>56</v>
      </c>
      <c r="C480" t="s">
        <v>7</v>
      </c>
      <c r="D480" t="s">
        <v>8</v>
      </c>
      <c r="E480">
        <v>1000000</v>
      </c>
      <c r="F480">
        <v>31.47</v>
      </c>
      <c r="G480">
        <v>36.36</v>
      </c>
    </row>
    <row r="481" spans="1:7" x14ac:dyDescent="0.25">
      <c r="A481" t="s">
        <v>6</v>
      </c>
      <c r="B481">
        <v>56</v>
      </c>
      <c r="C481" t="s">
        <v>7</v>
      </c>
      <c r="D481" t="s">
        <v>8</v>
      </c>
      <c r="E481">
        <v>1000000</v>
      </c>
      <c r="F481">
        <v>35.619999999999997</v>
      </c>
      <c r="G481">
        <v>39.25</v>
      </c>
    </row>
    <row r="482" spans="1:7" x14ac:dyDescent="0.25">
      <c r="A482" t="s">
        <v>6</v>
      </c>
      <c r="B482">
        <v>56</v>
      </c>
      <c r="C482" t="s">
        <v>7</v>
      </c>
      <c r="D482" t="s">
        <v>8</v>
      </c>
      <c r="E482">
        <v>1000000</v>
      </c>
      <c r="F482">
        <v>32.68</v>
      </c>
      <c r="G482">
        <v>38.28</v>
      </c>
    </row>
    <row r="483" spans="1:7" x14ac:dyDescent="0.25">
      <c r="A483" t="s">
        <v>6</v>
      </c>
      <c r="B483">
        <v>56</v>
      </c>
      <c r="C483" t="s">
        <v>7</v>
      </c>
      <c r="D483" t="s">
        <v>8</v>
      </c>
      <c r="E483">
        <v>1000000</v>
      </c>
      <c r="F483">
        <v>30.81</v>
      </c>
      <c r="G483">
        <v>36.479999999999997</v>
      </c>
    </row>
    <row r="484" spans="1:7" x14ac:dyDescent="0.25">
      <c r="A484" t="s">
        <v>6</v>
      </c>
      <c r="B484">
        <v>56</v>
      </c>
      <c r="C484" t="s">
        <v>7</v>
      </c>
      <c r="D484" t="s">
        <v>8</v>
      </c>
      <c r="E484">
        <v>1000000</v>
      </c>
      <c r="F484">
        <v>29.57</v>
      </c>
      <c r="G484">
        <v>36.479999999999997</v>
      </c>
    </row>
    <row r="485" spans="1:7" x14ac:dyDescent="0.25">
      <c r="A485" t="s">
        <v>6</v>
      </c>
      <c r="B485">
        <v>56</v>
      </c>
      <c r="C485" t="s">
        <v>7</v>
      </c>
      <c r="D485" t="s">
        <v>8</v>
      </c>
      <c r="E485">
        <v>1000000</v>
      </c>
      <c r="F485">
        <v>28.59</v>
      </c>
      <c r="G485">
        <v>36.520000000000003</v>
      </c>
    </row>
    <row r="486" spans="1:7" x14ac:dyDescent="0.25">
      <c r="A486" t="s">
        <v>6</v>
      </c>
      <c r="B486">
        <v>56</v>
      </c>
      <c r="C486" t="s">
        <v>7</v>
      </c>
      <c r="D486" t="s">
        <v>8</v>
      </c>
      <c r="E486">
        <v>1000000</v>
      </c>
      <c r="F486">
        <v>31.31</v>
      </c>
      <c r="G486">
        <v>40.119999999999997</v>
      </c>
    </row>
    <row r="487" spans="1:7" x14ac:dyDescent="0.25">
      <c r="A487" t="s">
        <v>6</v>
      </c>
      <c r="B487">
        <v>56</v>
      </c>
      <c r="C487" t="s">
        <v>7</v>
      </c>
      <c r="D487" t="s">
        <v>8</v>
      </c>
      <c r="E487">
        <v>1000000</v>
      </c>
      <c r="F487">
        <v>29.87</v>
      </c>
      <c r="G487">
        <v>37.57</v>
      </c>
    </row>
    <row r="488" spans="1:7" x14ac:dyDescent="0.25">
      <c r="A488" t="s">
        <v>6</v>
      </c>
      <c r="B488">
        <v>56</v>
      </c>
      <c r="C488" t="s">
        <v>7</v>
      </c>
      <c r="D488" t="s">
        <v>8</v>
      </c>
      <c r="E488">
        <v>1000000</v>
      </c>
      <c r="F488">
        <v>28.87</v>
      </c>
      <c r="G488">
        <v>37.65</v>
      </c>
    </row>
    <row r="489" spans="1:7" x14ac:dyDescent="0.25">
      <c r="A489" t="s">
        <v>6</v>
      </c>
      <c r="B489">
        <v>56</v>
      </c>
      <c r="C489" t="s">
        <v>7</v>
      </c>
      <c r="D489" t="s">
        <v>8</v>
      </c>
      <c r="E489">
        <v>1000000</v>
      </c>
      <c r="F489">
        <v>30.03</v>
      </c>
      <c r="G489">
        <v>38.549999999999997</v>
      </c>
    </row>
    <row r="490" spans="1:7" x14ac:dyDescent="0.25">
      <c r="A490" t="s">
        <v>6</v>
      </c>
      <c r="B490">
        <v>56</v>
      </c>
      <c r="C490" t="s">
        <v>7</v>
      </c>
      <c r="D490" t="s">
        <v>8</v>
      </c>
      <c r="E490">
        <v>1000000</v>
      </c>
      <c r="F490">
        <v>29.38</v>
      </c>
      <c r="G490">
        <v>37.36</v>
      </c>
    </row>
    <row r="491" spans="1:7" x14ac:dyDescent="0.25">
      <c r="A491" t="s">
        <v>6</v>
      </c>
      <c r="B491">
        <v>56</v>
      </c>
      <c r="C491" t="s">
        <v>7</v>
      </c>
      <c r="D491" t="s">
        <v>8</v>
      </c>
      <c r="E491">
        <v>1000000</v>
      </c>
      <c r="F491">
        <v>33.53</v>
      </c>
      <c r="G491">
        <v>36.61</v>
      </c>
    </row>
    <row r="492" spans="1:7" x14ac:dyDescent="0.25">
      <c r="A492" t="s">
        <v>6</v>
      </c>
      <c r="B492">
        <v>56</v>
      </c>
      <c r="C492" t="s">
        <v>7</v>
      </c>
      <c r="D492" t="s">
        <v>8</v>
      </c>
      <c r="E492">
        <v>1000000</v>
      </c>
      <c r="F492">
        <v>32.32</v>
      </c>
      <c r="G492">
        <v>36.71</v>
      </c>
    </row>
    <row r="493" spans="1:7" x14ac:dyDescent="0.25">
      <c r="A493" t="s">
        <v>6</v>
      </c>
      <c r="B493">
        <v>56</v>
      </c>
      <c r="C493" t="s">
        <v>7</v>
      </c>
      <c r="D493" t="s">
        <v>8</v>
      </c>
      <c r="E493">
        <v>1000000</v>
      </c>
      <c r="F493">
        <v>30.99</v>
      </c>
      <c r="G493">
        <v>36.89</v>
      </c>
    </row>
    <row r="494" spans="1:7" x14ac:dyDescent="0.25">
      <c r="A494" t="s">
        <v>6</v>
      </c>
      <c r="B494">
        <v>56</v>
      </c>
      <c r="C494" t="s">
        <v>7</v>
      </c>
      <c r="D494" t="s">
        <v>8</v>
      </c>
      <c r="E494">
        <v>1000000</v>
      </c>
      <c r="F494">
        <v>33.22</v>
      </c>
      <c r="G494">
        <v>36.94</v>
      </c>
    </row>
    <row r="495" spans="1:7" x14ac:dyDescent="0.25">
      <c r="A495" t="s">
        <v>6</v>
      </c>
      <c r="B495">
        <v>56</v>
      </c>
      <c r="C495" t="s">
        <v>7</v>
      </c>
      <c r="D495" t="s">
        <v>8</v>
      </c>
      <c r="E495">
        <v>1000000</v>
      </c>
      <c r="F495">
        <v>31.12</v>
      </c>
      <c r="G495">
        <v>38.090000000000003</v>
      </c>
    </row>
    <row r="496" spans="1:7" x14ac:dyDescent="0.25">
      <c r="A496" t="s">
        <v>6</v>
      </c>
      <c r="B496">
        <v>56</v>
      </c>
      <c r="C496" t="s">
        <v>7</v>
      </c>
      <c r="D496" t="s">
        <v>8</v>
      </c>
      <c r="E496">
        <v>1000000</v>
      </c>
      <c r="F496">
        <v>29.71</v>
      </c>
      <c r="G496">
        <v>37.08</v>
      </c>
    </row>
    <row r="497" spans="1:7" x14ac:dyDescent="0.25">
      <c r="A497" t="s">
        <v>6</v>
      </c>
      <c r="B497">
        <v>56</v>
      </c>
      <c r="C497" t="s">
        <v>7</v>
      </c>
      <c r="D497" t="s">
        <v>8</v>
      </c>
      <c r="E497">
        <v>1000000</v>
      </c>
      <c r="F497">
        <v>33.28</v>
      </c>
      <c r="G497">
        <v>38.1</v>
      </c>
    </row>
    <row r="498" spans="1:7" x14ac:dyDescent="0.25">
      <c r="A498" t="s">
        <v>6</v>
      </c>
      <c r="B498">
        <v>56</v>
      </c>
      <c r="C498" t="s">
        <v>7</v>
      </c>
      <c r="D498" t="s">
        <v>8</v>
      </c>
      <c r="E498">
        <v>1000000</v>
      </c>
      <c r="F498">
        <v>31.81</v>
      </c>
      <c r="G498">
        <v>36.880000000000003</v>
      </c>
    </row>
    <row r="499" spans="1:7" x14ac:dyDescent="0.25">
      <c r="A499" t="s">
        <v>6</v>
      </c>
      <c r="B499">
        <v>56</v>
      </c>
      <c r="C499" t="s">
        <v>7</v>
      </c>
      <c r="D499" t="s">
        <v>8</v>
      </c>
      <c r="E499">
        <v>1000000</v>
      </c>
      <c r="F499">
        <v>29.44</v>
      </c>
      <c r="G499">
        <v>37.119999999999997</v>
      </c>
    </row>
    <row r="500" spans="1:7" x14ac:dyDescent="0.25">
      <c r="A500" t="s">
        <v>6</v>
      </c>
      <c r="B500">
        <v>56</v>
      </c>
      <c r="C500" t="s">
        <v>7</v>
      </c>
      <c r="D500" t="s">
        <v>8</v>
      </c>
      <c r="E500">
        <v>1000000</v>
      </c>
      <c r="F500">
        <v>30.71</v>
      </c>
      <c r="G500">
        <v>34</v>
      </c>
    </row>
    <row r="501" spans="1:7" x14ac:dyDescent="0.25">
      <c r="A501" t="s">
        <v>6</v>
      </c>
      <c r="B501">
        <v>56</v>
      </c>
      <c r="C501" t="s">
        <v>7</v>
      </c>
      <c r="D501" t="s">
        <v>8</v>
      </c>
      <c r="E501">
        <v>1000000</v>
      </c>
      <c r="F501">
        <v>29.69</v>
      </c>
      <c r="G501">
        <v>38.369999999999997</v>
      </c>
    </row>
    <row r="502" spans="1:7" x14ac:dyDescent="0.25">
      <c r="A502" t="s">
        <v>6</v>
      </c>
      <c r="B502">
        <v>56</v>
      </c>
      <c r="C502" t="s">
        <v>7</v>
      </c>
      <c r="D502" t="s">
        <v>8</v>
      </c>
      <c r="E502">
        <v>1000000</v>
      </c>
      <c r="F502">
        <v>28.93</v>
      </c>
      <c r="G502">
        <v>37.520000000000003</v>
      </c>
    </row>
    <row r="503" spans="1:7" x14ac:dyDescent="0.25">
      <c r="A503" t="s">
        <v>6</v>
      </c>
      <c r="B503">
        <v>90</v>
      </c>
      <c r="C503" t="s">
        <v>7</v>
      </c>
      <c r="D503" t="s">
        <v>8</v>
      </c>
      <c r="E503">
        <v>1000000</v>
      </c>
      <c r="F503">
        <v>34.39</v>
      </c>
      <c r="G503">
        <v>42</v>
      </c>
    </row>
    <row r="504" spans="1:7" x14ac:dyDescent="0.25">
      <c r="A504" t="s">
        <v>6</v>
      </c>
      <c r="B504">
        <v>90</v>
      </c>
      <c r="C504" t="s">
        <v>7</v>
      </c>
      <c r="D504" t="s">
        <v>8</v>
      </c>
      <c r="E504">
        <v>1000000</v>
      </c>
      <c r="F504">
        <v>35.86</v>
      </c>
      <c r="G504">
        <v>36.159999999999997</v>
      </c>
    </row>
    <row r="505" spans="1:7" x14ac:dyDescent="0.25">
      <c r="A505" t="s">
        <v>6</v>
      </c>
      <c r="B505">
        <v>90</v>
      </c>
      <c r="C505" t="s">
        <v>7</v>
      </c>
      <c r="D505" t="s">
        <v>8</v>
      </c>
      <c r="E505">
        <v>1000000</v>
      </c>
      <c r="F505">
        <v>30.9</v>
      </c>
      <c r="G505">
        <v>43.63</v>
      </c>
    </row>
    <row r="506" spans="1:7" x14ac:dyDescent="0.25">
      <c r="A506" t="s">
        <v>6</v>
      </c>
      <c r="B506">
        <v>90</v>
      </c>
      <c r="C506" t="s">
        <v>7</v>
      </c>
      <c r="D506" t="s">
        <v>8</v>
      </c>
      <c r="E506">
        <v>1000000</v>
      </c>
      <c r="F506">
        <v>33.840000000000003</v>
      </c>
      <c r="G506">
        <v>40.29</v>
      </c>
    </row>
    <row r="507" spans="1:7" x14ac:dyDescent="0.25">
      <c r="A507" t="s">
        <v>6</v>
      </c>
      <c r="B507">
        <v>90</v>
      </c>
      <c r="C507" t="s">
        <v>7</v>
      </c>
      <c r="D507" t="s">
        <v>8</v>
      </c>
      <c r="E507">
        <v>1000000</v>
      </c>
      <c r="F507">
        <v>32.020000000000003</v>
      </c>
      <c r="G507">
        <v>42.16</v>
      </c>
    </row>
    <row r="508" spans="1:7" x14ac:dyDescent="0.25">
      <c r="A508" t="s">
        <v>6</v>
      </c>
      <c r="B508">
        <v>90</v>
      </c>
      <c r="C508" t="s">
        <v>7</v>
      </c>
      <c r="D508" t="s">
        <v>8</v>
      </c>
      <c r="E508">
        <v>1000000</v>
      </c>
      <c r="F508">
        <v>32.270000000000003</v>
      </c>
      <c r="G508">
        <v>38.94</v>
      </c>
    </row>
    <row r="509" spans="1:7" x14ac:dyDescent="0.25">
      <c r="A509" t="s">
        <v>6</v>
      </c>
      <c r="B509">
        <v>90</v>
      </c>
      <c r="C509" t="s">
        <v>7</v>
      </c>
      <c r="D509" t="s">
        <v>8</v>
      </c>
      <c r="E509">
        <v>1000000</v>
      </c>
      <c r="F509">
        <v>32.11</v>
      </c>
      <c r="G509">
        <v>41.42</v>
      </c>
    </row>
    <row r="510" spans="1:7" x14ac:dyDescent="0.25">
      <c r="A510" t="s">
        <v>6</v>
      </c>
      <c r="B510">
        <v>90</v>
      </c>
      <c r="C510" t="s">
        <v>7</v>
      </c>
      <c r="D510" t="s">
        <v>8</v>
      </c>
      <c r="E510">
        <v>1000000</v>
      </c>
      <c r="F510">
        <v>31.7</v>
      </c>
      <c r="G510">
        <v>38.92</v>
      </c>
    </row>
    <row r="511" spans="1:7" x14ac:dyDescent="0.25">
      <c r="A511" t="s">
        <v>6</v>
      </c>
      <c r="B511">
        <v>90</v>
      </c>
      <c r="C511" t="s">
        <v>7</v>
      </c>
      <c r="D511" t="s">
        <v>8</v>
      </c>
      <c r="E511">
        <v>1000000</v>
      </c>
      <c r="F511">
        <v>33.07</v>
      </c>
      <c r="G511">
        <v>39.56</v>
      </c>
    </row>
    <row r="512" spans="1:7" x14ac:dyDescent="0.25">
      <c r="A512" t="s">
        <v>6</v>
      </c>
      <c r="B512">
        <v>90</v>
      </c>
      <c r="C512" t="s">
        <v>7</v>
      </c>
      <c r="D512" t="s">
        <v>8</v>
      </c>
      <c r="E512">
        <v>1000000</v>
      </c>
      <c r="F512">
        <v>31.75</v>
      </c>
      <c r="G512">
        <v>43.37</v>
      </c>
    </row>
    <row r="513" spans="1:7" x14ac:dyDescent="0.25">
      <c r="A513" t="s">
        <v>6</v>
      </c>
      <c r="B513">
        <v>90</v>
      </c>
      <c r="C513" t="s">
        <v>7</v>
      </c>
      <c r="D513" t="s">
        <v>8</v>
      </c>
      <c r="E513">
        <v>1000000</v>
      </c>
      <c r="F513">
        <v>33.409999999999997</v>
      </c>
      <c r="G513">
        <v>40.21</v>
      </c>
    </row>
    <row r="514" spans="1:7" x14ac:dyDescent="0.25">
      <c r="A514" t="s">
        <v>6</v>
      </c>
      <c r="B514">
        <v>90</v>
      </c>
      <c r="C514" t="s">
        <v>7</v>
      </c>
      <c r="D514" t="s">
        <v>8</v>
      </c>
      <c r="E514">
        <v>1000000</v>
      </c>
      <c r="F514">
        <v>32.92</v>
      </c>
      <c r="G514">
        <v>40.83</v>
      </c>
    </row>
    <row r="515" spans="1:7" x14ac:dyDescent="0.25">
      <c r="A515" t="s">
        <v>6</v>
      </c>
      <c r="B515">
        <v>90</v>
      </c>
      <c r="C515" t="s">
        <v>7</v>
      </c>
      <c r="D515" t="s">
        <v>8</v>
      </c>
      <c r="E515">
        <v>1000000</v>
      </c>
      <c r="F515">
        <v>32.64</v>
      </c>
      <c r="G515">
        <v>41.81</v>
      </c>
    </row>
    <row r="516" spans="1:7" x14ac:dyDescent="0.25">
      <c r="A516" t="s">
        <v>6</v>
      </c>
      <c r="B516">
        <v>90</v>
      </c>
      <c r="C516" t="s">
        <v>7</v>
      </c>
      <c r="D516" t="s">
        <v>8</v>
      </c>
      <c r="E516">
        <v>1000000</v>
      </c>
      <c r="F516">
        <v>31.64</v>
      </c>
      <c r="G516">
        <v>41.24</v>
      </c>
    </row>
    <row r="517" spans="1:7" x14ac:dyDescent="0.25">
      <c r="A517" t="s">
        <v>6</v>
      </c>
      <c r="B517">
        <v>90</v>
      </c>
      <c r="C517" t="s">
        <v>7</v>
      </c>
      <c r="D517" t="s">
        <v>8</v>
      </c>
      <c r="E517">
        <v>1000000</v>
      </c>
      <c r="F517">
        <v>32.130000000000003</v>
      </c>
      <c r="G517">
        <v>40.729999999999997</v>
      </c>
    </row>
    <row r="518" spans="1:7" x14ac:dyDescent="0.25">
      <c r="A518" t="s">
        <v>6</v>
      </c>
      <c r="B518">
        <v>90</v>
      </c>
      <c r="C518" t="s">
        <v>7</v>
      </c>
      <c r="D518" t="s">
        <v>8</v>
      </c>
      <c r="E518">
        <v>1000000</v>
      </c>
      <c r="F518">
        <v>34.130000000000003</v>
      </c>
      <c r="G518">
        <v>41.05</v>
      </c>
    </row>
    <row r="519" spans="1:7" x14ac:dyDescent="0.25">
      <c r="A519" t="s">
        <v>6</v>
      </c>
      <c r="B519">
        <v>90</v>
      </c>
      <c r="C519" t="s">
        <v>7</v>
      </c>
      <c r="D519" t="s">
        <v>8</v>
      </c>
      <c r="E519">
        <v>1000000</v>
      </c>
      <c r="F519">
        <v>33.75</v>
      </c>
      <c r="G519">
        <v>44.11</v>
      </c>
    </row>
    <row r="520" spans="1:7" x14ac:dyDescent="0.25">
      <c r="A520" t="s">
        <v>6</v>
      </c>
      <c r="B520">
        <v>90</v>
      </c>
      <c r="C520" t="s">
        <v>7</v>
      </c>
      <c r="D520" t="s">
        <v>8</v>
      </c>
      <c r="E520">
        <v>1000000</v>
      </c>
      <c r="F520">
        <v>31.53</v>
      </c>
      <c r="G520">
        <v>40.409999999999997</v>
      </c>
    </row>
    <row r="521" spans="1:7" x14ac:dyDescent="0.25">
      <c r="A521" t="s">
        <v>6</v>
      </c>
      <c r="B521">
        <v>90</v>
      </c>
      <c r="C521" t="s">
        <v>7</v>
      </c>
      <c r="D521" t="s">
        <v>8</v>
      </c>
      <c r="E521">
        <v>1000000</v>
      </c>
      <c r="F521">
        <v>33.15</v>
      </c>
      <c r="G521">
        <v>40.799999999999997</v>
      </c>
    </row>
    <row r="522" spans="1:7" x14ac:dyDescent="0.25">
      <c r="A522" t="s">
        <v>6</v>
      </c>
      <c r="B522">
        <v>90</v>
      </c>
      <c r="C522" t="s">
        <v>7</v>
      </c>
      <c r="D522" t="s">
        <v>8</v>
      </c>
      <c r="E522">
        <v>1000000</v>
      </c>
      <c r="F522">
        <v>34.130000000000003</v>
      </c>
      <c r="G522">
        <v>42.08</v>
      </c>
    </row>
    <row r="523" spans="1:7" x14ac:dyDescent="0.25">
      <c r="A523" t="s">
        <v>6</v>
      </c>
      <c r="B523">
        <v>90</v>
      </c>
      <c r="C523" t="s">
        <v>7</v>
      </c>
      <c r="D523" t="s">
        <v>8</v>
      </c>
      <c r="E523">
        <v>1000000</v>
      </c>
      <c r="F523">
        <v>30.5</v>
      </c>
      <c r="G523">
        <v>42.16</v>
      </c>
    </row>
    <row r="524" spans="1:7" x14ac:dyDescent="0.25">
      <c r="A524" t="s">
        <v>6</v>
      </c>
      <c r="B524">
        <v>90</v>
      </c>
      <c r="C524" t="s">
        <v>7</v>
      </c>
      <c r="D524" t="s">
        <v>8</v>
      </c>
      <c r="E524">
        <v>1000000</v>
      </c>
      <c r="F524">
        <v>33.82</v>
      </c>
      <c r="G524">
        <v>42.28</v>
      </c>
    </row>
    <row r="525" spans="1:7" x14ac:dyDescent="0.25">
      <c r="A525" t="s">
        <v>6</v>
      </c>
      <c r="B525">
        <v>90</v>
      </c>
      <c r="C525" t="s">
        <v>7</v>
      </c>
      <c r="D525" t="s">
        <v>8</v>
      </c>
      <c r="E525">
        <v>1000000</v>
      </c>
      <c r="F525">
        <v>32.01</v>
      </c>
      <c r="G525">
        <v>41.46</v>
      </c>
    </row>
    <row r="526" spans="1:7" x14ac:dyDescent="0.25">
      <c r="A526" t="s">
        <v>6</v>
      </c>
      <c r="B526">
        <v>90</v>
      </c>
      <c r="C526" t="s">
        <v>7</v>
      </c>
      <c r="D526" t="s">
        <v>8</v>
      </c>
      <c r="E526">
        <v>1000000</v>
      </c>
      <c r="F526">
        <v>33.86</v>
      </c>
      <c r="G526">
        <v>38.79</v>
      </c>
    </row>
    <row r="527" spans="1:7" x14ac:dyDescent="0.25">
      <c r="A527" t="s">
        <v>6</v>
      </c>
      <c r="B527">
        <v>90</v>
      </c>
      <c r="C527" t="s">
        <v>7</v>
      </c>
      <c r="D527" t="s">
        <v>8</v>
      </c>
      <c r="E527">
        <v>1000000</v>
      </c>
      <c r="F527">
        <v>31.86</v>
      </c>
      <c r="G527">
        <v>42.95</v>
      </c>
    </row>
    <row r="528" spans="1:7" x14ac:dyDescent="0.25">
      <c r="A528" t="s">
        <v>6</v>
      </c>
      <c r="B528">
        <v>90</v>
      </c>
      <c r="C528" t="s">
        <v>7</v>
      </c>
      <c r="D528" t="s">
        <v>8</v>
      </c>
      <c r="E528">
        <v>1000000</v>
      </c>
      <c r="F528">
        <v>30.29</v>
      </c>
      <c r="G528">
        <v>38.78</v>
      </c>
    </row>
    <row r="529" spans="1:7" x14ac:dyDescent="0.25">
      <c r="A529" t="s">
        <v>6</v>
      </c>
      <c r="B529">
        <v>90</v>
      </c>
      <c r="C529" t="s">
        <v>7</v>
      </c>
      <c r="D529" t="s">
        <v>8</v>
      </c>
      <c r="E529">
        <v>1000000</v>
      </c>
      <c r="F529">
        <v>30.56</v>
      </c>
      <c r="G529">
        <v>40.950000000000003</v>
      </c>
    </row>
    <row r="530" spans="1:7" x14ac:dyDescent="0.25">
      <c r="A530" t="s">
        <v>6</v>
      </c>
      <c r="B530">
        <v>90</v>
      </c>
      <c r="C530" t="s">
        <v>7</v>
      </c>
      <c r="D530" t="s">
        <v>8</v>
      </c>
      <c r="E530">
        <v>1000000</v>
      </c>
      <c r="F530">
        <v>33.07</v>
      </c>
      <c r="G530">
        <v>39.369999999999997</v>
      </c>
    </row>
    <row r="531" spans="1:7" x14ac:dyDescent="0.25">
      <c r="A531" t="s">
        <v>6</v>
      </c>
      <c r="B531">
        <v>90</v>
      </c>
      <c r="C531" t="s">
        <v>7</v>
      </c>
      <c r="D531" t="s">
        <v>8</v>
      </c>
      <c r="E531">
        <v>1000000</v>
      </c>
      <c r="F531">
        <v>33.39</v>
      </c>
      <c r="G531">
        <v>40.4</v>
      </c>
    </row>
    <row r="532" spans="1:7" x14ac:dyDescent="0.25">
      <c r="A532" t="s">
        <v>6</v>
      </c>
      <c r="B532">
        <v>90</v>
      </c>
      <c r="C532" t="s">
        <v>7</v>
      </c>
      <c r="D532" t="s">
        <v>8</v>
      </c>
      <c r="E532">
        <v>1000000</v>
      </c>
      <c r="F532">
        <v>31.64</v>
      </c>
      <c r="G532">
        <v>40.99</v>
      </c>
    </row>
    <row r="533" spans="1:7" x14ac:dyDescent="0.25">
      <c r="A533" t="s">
        <v>6</v>
      </c>
      <c r="B533">
        <v>90</v>
      </c>
      <c r="C533" t="s">
        <v>7</v>
      </c>
      <c r="D533" t="s">
        <v>8</v>
      </c>
      <c r="E533">
        <v>1000000</v>
      </c>
      <c r="F533">
        <v>33.96</v>
      </c>
      <c r="G533">
        <v>40.98</v>
      </c>
    </row>
    <row r="534" spans="1:7" x14ac:dyDescent="0.25">
      <c r="A534" t="s">
        <v>6</v>
      </c>
      <c r="B534">
        <v>90</v>
      </c>
      <c r="C534" t="s">
        <v>7</v>
      </c>
      <c r="D534" t="s">
        <v>8</v>
      </c>
      <c r="E534">
        <v>1000000</v>
      </c>
      <c r="F534">
        <v>30.51</v>
      </c>
      <c r="G534">
        <v>41.13</v>
      </c>
    </row>
    <row r="535" spans="1:7" x14ac:dyDescent="0.25">
      <c r="A535" t="s">
        <v>6</v>
      </c>
      <c r="B535">
        <v>90</v>
      </c>
      <c r="C535" t="s">
        <v>7</v>
      </c>
      <c r="D535" t="s">
        <v>8</v>
      </c>
      <c r="E535">
        <v>1000000</v>
      </c>
      <c r="F535">
        <v>32.9</v>
      </c>
      <c r="G535">
        <v>42.92</v>
      </c>
    </row>
    <row r="536" spans="1:7" x14ac:dyDescent="0.25">
      <c r="A536" t="s">
        <v>6</v>
      </c>
      <c r="B536">
        <v>90</v>
      </c>
      <c r="C536" t="s">
        <v>7</v>
      </c>
      <c r="D536" t="s">
        <v>8</v>
      </c>
      <c r="E536">
        <v>1000000</v>
      </c>
      <c r="F536">
        <v>31.18</v>
      </c>
      <c r="G536">
        <v>41.18</v>
      </c>
    </row>
    <row r="537" spans="1:7" x14ac:dyDescent="0.25">
      <c r="A537" t="s">
        <v>6</v>
      </c>
      <c r="B537">
        <v>90</v>
      </c>
      <c r="C537" t="s">
        <v>7</v>
      </c>
      <c r="D537" t="s">
        <v>8</v>
      </c>
      <c r="E537">
        <v>1000000</v>
      </c>
      <c r="F537">
        <v>32.020000000000003</v>
      </c>
      <c r="G537">
        <v>40.130000000000003</v>
      </c>
    </row>
    <row r="538" spans="1:7" x14ac:dyDescent="0.25">
      <c r="A538" t="s">
        <v>6</v>
      </c>
      <c r="B538">
        <v>90</v>
      </c>
      <c r="C538" t="s">
        <v>7</v>
      </c>
      <c r="D538" t="s">
        <v>8</v>
      </c>
      <c r="E538">
        <v>1000000</v>
      </c>
      <c r="F538">
        <v>33.07</v>
      </c>
      <c r="G538">
        <v>41.95</v>
      </c>
    </row>
    <row r="539" spans="1:7" x14ac:dyDescent="0.25">
      <c r="A539" t="s">
        <v>6</v>
      </c>
      <c r="B539">
        <v>90</v>
      </c>
      <c r="C539" t="s">
        <v>7</v>
      </c>
      <c r="D539" t="s">
        <v>8</v>
      </c>
      <c r="E539">
        <v>1000000</v>
      </c>
      <c r="F539">
        <v>31.71</v>
      </c>
      <c r="G539">
        <v>42.28</v>
      </c>
    </row>
    <row r="540" spans="1:7" x14ac:dyDescent="0.25">
      <c r="A540" t="s">
        <v>6</v>
      </c>
      <c r="B540">
        <v>90</v>
      </c>
      <c r="C540" t="s">
        <v>7</v>
      </c>
      <c r="D540" t="s">
        <v>8</v>
      </c>
      <c r="E540">
        <v>1000000</v>
      </c>
      <c r="F540">
        <v>32.42</v>
      </c>
      <c r="G540">
        <v>38.659999999999997</v>
      </c>
    </row>
    <row r="541" spans="1:7" x14ac:dyDescent="0.25">
      <c r="A541" t="s">
        <v>6</v>
      </c>
      <c r="B541">
        <v>90</v>
      </c>
      <c r="C541" t="s">
        <v>7</v>
      </c>
      <c r="D541" t="s">
        <v>8</v>
      </c>
      <c r="E541">
        <v>1000000</v>
      </c>
      <c r="F541">
        <v>34.51</v>
      </c>
      <c r="G541">
        <v>41.4</v>
      </c>
    </row>
    <row r="542" spans="1:7" x14ac:dyDescent="0.25">
      <c r="A542" t="s">
        <v>6</v>
      </c>
      <c r="B542">
        <v>90</v>
      </c>
      <c r="C542" t="s">
        <v>7</v>
      </c>
      <c r="D542" t="s">
        <v>8</v>
      </c>
      <c r="E542">
        <v>1000000</v>
      </c>
      <c r="F542">
        <v>32.130000000000003</v>
      </c>
      <c r="G542">
        <v>41.55</v>
      </c>
    </row>
    <row r="543" spans="1:7" x14ac:dyDescent="0.25">
      <c r="A543" t="s">
        <v>6</v>
      </c>
      <c r="B543">
        <v>90</v>
      </c>
      <c r="C543" t="s">
        <v>7</v>
      </c>
      <c r="D543" t="s">
        <v>8</v>
      </c>
      <c r="E543">
        <v>1000000</v>
      </c>
      <c r="F543">
        <v>34.25</v>
      </c>
      <c r="G543">
        <v>40.049999999999997</v>
      </c>
    </row>
    <row r="544" spans="1:7" x14ac:dyDescent="0.25">
      <c r="A544" t="s">
        <v>6</v>
      </c>
      <c r="B544">
        <v>90</v>
      </c>
      <c r="C544" t="s">
        <v>7</v>
      </c>
      <c r="D544" t="s">
        <v>8</v>
      </c>
      <c r="E544">
        <v>1000000</v>
      </c>
      <c r="F544">
        <v>31.31</v>
      </c>
      <c r="G544">
        <v>42.56</v>
      </c>
    </row>
    <row r="545" spans="1:7" x14ac:dyDescent="0.25">
      <c r="A545" t="s">
        <v>6</v>
      </c>
      <c r="B545">
        <v>90</v>
      </c>
      <c r="C545" t="s">
        <v>7</v>
      </c>
      <c r="D545" t="s">
        <v>8</v>
      </c>
      <c r="E545">
        <v>1000000</v>
      </c>
      <c r="F545">
        <v>33.79</v>
      </c>
      <c r="G545">
        <v>40.270000000000003</v>
      </c>
    </row>
    <row r="546" spans="1:7" x14ac:dyDescent="0.25">
      <c r="A546" t="s">
        <v>6</v>
      </c>
      <c r="B546">
        <v>90</v>
      </c>
      <c r="C546" t="s">
        <v>7</v>
      </c>
      <c r="D546" t="s">
        <v>8</v>
      </c>
      <c r="E546">
        <v>1000000</v>
      </c>
      <c r="F546">
        <v>35.159999999999997</v>
      </c>
      <c r="G546">
        <v>40.69</v>
      </c>
    </row>
    <row r="547" spans="1:7" x14ac:dyDescent="0.25">
      <c r="A547" t="s">
        <v>6</v>
      </c>
      <c r="B547">
        <v>90</v>
      </c>
      <c r="C547" t="s">
        <v>7</v>
      </c>
      <c r="D547" t="s">
        <v>8</v>
      </c>
      <c r="E547">
        <v>1000000</v>
      </c>
      <c r="F547">
        <v>29.29</v>
      </c>
      <c r="G547">
        <v>40.24</v>
      </c>
    </row>
    <row r="548" spans="1:7" x14ac:dyDescent="0.25">
      <c r="A548" t="s">
        <v>6</v>
      </c>
      <c r="B548">
        <v>90</v>
      </c>
      <c r="C548" t="s">
        <v>7</v>
      </c>
      <c r="D548" t="s">
        <v>8</v>
      </c>
      <c r="E548">
        <v>1000000</v>
      </c>
      <c r="F548">
        <v>31.8</v>
      </c>
      <c r="G548">
        <v>40.520000000000003</v>
      </c>
    </row>
    <row r="549" spans="1:7" x14ac:dyDescent="0.25">
      <c r="A549" t="s">
        <v>6</v>
      </c>
      <c r="B549">
        <v>90</v>
      </c>
      <c r="C549" t="s">
        <v>7</v>
      </c>
      <c r="D549" t="s">
        <v>8</v>
      </c>
      <c r="E549">
        <v>1000000</v>
      </c>
      <c r="F549">
        <v>33.869999999999997</v>
      </c>
      <c r="G549">
        <v>38.86</v>
      </c>
    </row>
    <row r="550" spans="1:7" x14ac:dyDescent="0.25">
      <c r="A550" t="s">
        <v>6</v>
      </c>
      <c r="B550">
        <v>90</v>
      </c>
      <c r="C550" t="s">
        <v>7</v>
      </c>
      <c r="D550" t="s">
        <v>8</v>
      </c>
      <c r="E550">
        <v>1000000</v>
      </c>
      <c r="F550">
        <v>32.700000000000003</v>
      </c>
      <c r="G550">
        <v>38.340000000000003</v>
      </c>
    </row>
    <row r="551" spans="1:7" x14ac:dyDescent="0.25">
      <c r="A551" t="s">
        <v>6</v>
      </c>
      <c r="B551">
        <v>90</v>
      </c>
      <c r="C551" t="s">
        <v>7</v>
      </c>
      <c r="D551" t="s">
        <v>8</v>
      </c>
      <c r="E551">
        <v>1000000</v>
      </c>
      <c r="F551">
        <v>33.56</v>
      </c>
      <c r="G551">
        <v>42.89</v>
      </c>
    </row>
    <row r="552" spans="1:7" x14ac:dyDescent="0.25">
      <c r="A552" t="s">
        <v>6</v>
      </c>
      <c r="B552">
        <v>90</v>
      </c>
      <c r="C552" t="s">
        <v>7</v>
      </c>
      <c r="D552" t="s">
        <v>8</v>
      </c>
      <c r="E552">
        <v>1000000</v>
      </c>
      <c r="F552">
        <v>32.090000000000003</v>
      </c>
      <c r="G552">
        <v>39.229999999999997</v>
      </c>
    </row>
    <row r="553" spans="1:7" x14ac:dyDescent="0.25">
      <c r="A553" t="s">
        <v>6</v>
      </c>
      <c r="B553">
        <v>90</v>
      </c>
      <c r="C553" t="s">
        <v>7</v>
      </c>
      <c r="D553" t="s">
        <v>8</v>
      </c>
      <c r="E553">
        <v>1000000</v>
      </c>
      <c r="F553">
        <v>33.130000000000003</v>
      </c>
      <c r="G553">
        <v>39.01</v>
      </c>
    </row>
    <row r="554" spans="1:7" x14ac:dyDescent="0.25">
      <c r="A554" t="s">
        <v>6</v>
      </c>
      <c r="B554">
        <v>90</v>
      </c>
      <c r="C554" t="s">
        <v>7</v>
      </c>
      <c r="D554" t="s">
        <v>8</v>
      </c>
      <c r="E554">
        <v>1000000</v>
      </c>
      <c r="F554">
        <v>32.770000000000003</v>
      </c>
      <c r="G554">
        <v>37.270000000000003</v>
      </c>
    </row>
    <row r="555" spans="1:7" x14ac:dyDescent="0.25">
      <c r="A555" t="s">
        <v>6</v>
      </c>
      <c r="B555">
        <v>90</v>
      </c>
      <c r="C555" t="s">
        <v>7</v>
      </c>
      <c r="D555" t="s">
        <v>8</v>
      </c>
      <c r="E555">
        <v>1000000</v>
      </c>
      <c r="F555">
        <v>34.75</v>
      </c>
      <c r="G555">
        <v>39.54</v>
      </c>
    </row>
    <row r="556" spans="1:7" x14ac:dyDescent="0.25">
      <c r="A556" t="s">
        <v>6</v>
      </c>
      <c r="B556">
        <v>90</v>
      </c>
      <c r="C556" t="s">
        <v>7</v>
      </c>
      <c r="D556" t="s">
        <v>8</v>
      </c>
      <c r="E556">
        <v>1000000</v>
      </c>
      <c r="F556">
        <v>33.380000000000003</v>
      </c>
      <c r="G556">
        <v>38.520000000000003</v>
      </c>
    </row>
    <row r="557" spans="1:7" x14ac:dyDescent="0.25">
      <c r="A557" t="s">
        <v>6</v>
      </c>
      <c r="B557">
        <v>90</v>
      </c>
      <c r="C557" t="s">
        <v>7</v>
      </c>
      <c r="D557" t="s">
        <v>8</v>
      </c>
      <c r="E557">
        <v>1000000</v>
      </c>
      <c r="F557">
        <v>33.51</v>
      </c>
      <c r="G557">
        <v>42.96</v>
      </c>
    </row>
    <row r="558" spans="1:7" x14ac:dyDescent="0.25">
      <c r="A558" t="s">
        <v>6</v>
      </c>
      <c r="B558">
        <v>90</v>
      </c>
      <c r="C558" t="s">
        <v>7</v>
      </c>
      <c r="D558" t="s">
        <v>8</v>
      </c>
      <c r="E558">
        <v>1000000</v>
      </c>
      <c r="F558">
        <v>32.380000000000003</v>
      </c>
      <c r="G558">
        <v>42.01</v>
      </c>
    </row>
    <row r="559" spans="1:7" x14ac:dyDescent="0.25">
      <c r="A559" t="s">
        <v>6</v>
      </c>
      <c r="B559">
        <v>90</v>
      </c>
      <c r="C559" t="s">
        <v>7</v>
      </c>
      <c r="D559" t="s">
        <v>8</v>
      </c>
      <c r="E559">
        <v>1000000</v>
      </c>
      <c r="F559">
        <v>32.270000000000003</v>
      </c>
      <c r="G559">
        <v>39.47</v>
      </c>
    </row>
    <row r="560" spans="1:7" x14ac:dyDescent="0.25">
      <c r="A560" t="s">
        <v>6</v>
      </c>
      <c r="B560">
        <v>90</v>
      </c>
      <c r="C560" t="s">
        <v>7</v>
      </c>
      <c r="D560" t="s">
        <v>8</v>
      </c>
      <c r="E560">
        <v>1000000</v>
      </c>
      <c r="F560">
        <v>32.35</v>
      </c>
      <c r="G560">
        <v>43.88</v>
      </c>
    </row>
    <row r="561" spans="1:7" x14ac:dyDescent="0.25">
      <c r="A561" t="s">
        <v>6</v>
      </c>
      <c r="B561">
        <v>90</v>
      </c>
      <c r="C561" t="s">
        <v>7</v>
      </c>
      <c r="D561" t="s">
        <v>8</v>
      </c>
      <c r="E561">
        <v>1000000</v>
      </c>
      <c r="F561">
        <v>33.590000000000003</v>
      </c>
      <c r="G561">
        <v>41.97</v>
      </c>
    </row>
    <row r="562" spans="1:7" x14ac:dyDescent="0.25">
      <c r="A562" t="s">
        <v>6</v>
      </c>
      <c r="B562">
        <v>90</v>
      </c>
      <c r="C562" t="s">
        <v>7</v>
      </c>
      <c r="D562" t="s">
        <v>8</v>
      </c>
      <c r="E562">
        <v>1000000</v>
      </c>
      <c r="F562">
        <v>32.369999999999997</v>
      </c>
      <c r="G562">
        <v>40.01</v>
      </c>
    </row>
    <row r="563" spans="1:7" x14ac:dyDescent="0.25">
      <c r="A563" t="s">
        <v>6</v>
      </c>
      <c r="B563">
        <v>90</v>
      </c>
      <c r="C563" t="s">
        <v>7</v>
      </c>
      <c r="D563" t="s">
        <v>8</v>
      </c>
      <c r="E563">
        <v>1000000</v>
      </c>
      <c r="F563">
        <v>33.43</v>
      </c>
      <c r="G563">
        <v>36.75</v>
      </c>
    </row>
    <row r="564" spans="1:7" x14ac:dyDescent="0.25">
      <c r="A564" t="s">
        <v>6</v>
      </c>
      <c r="B564">
        <v>90</v>
      </c>
      <c r="C564" t="s">
        <v>7</v>
      </c>
      <c r="D564" t="s">
        <v>8</v>
      </c>
      <c r="E564">
        <v>1000000</v>
      </c>
      <c r="F564">
        <v>36.11</v>
      </c>
      <c r="G564">
        <v>43.94</v>
      </c>
    </row>
    <row r="565" spans="1:7" x14ac:dyDescent="0.25">
      <c r="A565" t="s">
        <v>6</v>
      </c>
      <c r="B565">
        <v>90</v>
      </c>
      <c r="C565" t="s">
        <v>7</v>
      </c>
      <c r="D565" t="s">
        <v>8</v>
      </c>
      <c r="E565">
        <v>1000000</v>
      </c>
      <c r="F565">
        <v>34.31</v>
      </c>
      <c r="G565">
        <v>38.42</v>
      </c>
    </row>
    <row r="566" spans="1:7" x14ac:dyDescent="0.25">
      <c r="A566" t="s">
        <v>6</v>
      </c>
      <c r="B566">
        <v>90</v>
      </c>
      <c r="C566" t="s">
        <v>7</v>
      </c>
      <c r="D566" t="s">
        <v>8</v>
      </c>
      <c r="E566">
        <v>1000000</v>
      </c>
      <c r="F566">
        <v>32.51</v>
      </c>
      <c r="G566">
        <v>38.03</v>
      </c>
    </row>
    <row r="567" spans="1:7" x14ac:dyDescent="0.25">
      <c r="A567" t="s">
        <v>6</v>
      </c>
      <c r="B567">
        <v>90</v>
      </c>
      <c r="C567" t="s">
        <v>7</v>
      </c>
      <c r="D567" t="s">
        <v>8</v>
      </c>
      <c r="E567">
        <v>1000000</v>
      </c>
      <c r="F567">
        <v>34.799999999999997</v>
      </c>
      <c r="G567">
        <v>42.03</v>
      </c>
    </row>
    <row r="568" spans="1:7" x14ac:dyDescent="0.25">
      <c r="A568" t="s">
        <v>6</v>
      </c>
      <c r="B568">
        <v>90</v>
      </c>
      <c r="C568" t="s">
        <v>7</v>
      </c>
      <c r="D568" t="s">
        <v>8</v>
      </c>
      <c r="E568">
        <v>1000000</v>
      </c>
      <c r="F568">
        <v>32.39</v>
      </c>
      <c r="G568">
        <v>44.16</v>
      </c>
    </row>
    <row r="569" spans="1:7" x14ac:dyDescent="0.25">
      <c r="A569" t="s">
        <v>6</v>
      </c>
      <c r="B569">
        <v>90</v>
      </c>
      <c r="C569" t="s">
        <v>7</v>
      </c>
      <c r="D569" t="s">
        <v>8</v>
      </c>
      <c r="E569">
        <v>1000000</v>
      </c>
      <c r="F569">
        <v>29.94</v>
      </c>
      <c r="G569">
        <v>42.58</v>
      </c>
    </row>
    <row r="570" spans="1:7" x14ac:dyDescent="0.25">
      <c r="A570" t="s">
        <v>6</v>
      </c>
      <c r="B570">
        <v>90</v>
      </c>
      <c r="C570" t="s">
        <v>7</v>
      </c>
      <c r="D570" t="s">
        <v>8</v>
      </c>
      <c r="E570">
        <v>1000000</v>
      </c>
      <c r="F570">
        <v>31.49</v>
      </c>
      <c r="G570">
        <v>41.35</v>
      </c>
    </row>
    <row r="571" spans="1:7" x14ac:dyDescent="0.25">
      <c r="A571" t="s">
        <v>6</v>
      </c>
      <c r="B571">
        <v>90</v>
      </c>
      <c r="C571" t="s">
        <v>7</v>
      </c>
      <c r="D571" t="s">
        <v>8</v>
      </c>
      <c r="E571">
        <v>1000000</v>
      </c>
      <c r="F571">
        <v>30.19</v>
      </c>
      <c r="G571">
        <v>41.39</v>
      </c>
    </row>
    <row r="572" spans="1:7" x14ac:dyDescent="0.25">
      <c r="A572" t="s">
        <v>6</v>
      </c>
      <c r="B572">
        <v>90</v>
      </c>
      <c r="C572" t="s">
        <v>7</v>
      </c>
      <c r="D572" t="s">
        <v>8</v>
      </c>
      <c r="E572">
        <v>1000000</v>
      </c>
      <c r="F572">
        <v>32.47</v>
      </c>
      <c r="G572">
        <v>41.78</v>
      </c>
    </row>
    <row r="573" spans="1:7" x14ac:dyDescent="0.25">
      <c r="A573" t="s">
        <v>6</v>
      </c>
      <c r="B573">
        <v>90</v>
      </c>
      <c r="C573" t="s">
        <v>7</v>
      </c>
      <c r="D573" t="s">
        <v>8</v>
      </c>
      <c r="E573">
        <v>1000000</v>
      </c>
      <c r="F573">
        <v>33.03</v>
      </c>
      <c r="G573">
        <v>41.64</v>
      </c>
    </row>
    <row r="574" spans="1:7" x14ac:dyDescent="0.25">
      <c r="A574" t="s">
        <v>6</v>
      </c>
      <c r="B574">
        <v>90</v>
      </c>
      <c r="C574" t="s">
        <v>7</v>
      </c>
      <c r="D574" t="s">
        <v>8</v>
      </c>
      <c r="E574">
        <v>1000000</v>
      </c>
      <c r="F574">
        <v>35.51</v>
      </c>
      <c r="G574">
        <v>40.92</v>
      </c>
    </row>
    <row r="575" spans="1:7" x14ac:dyDescent="0.25">
      <c r="A575" t="s">
        <v>6</v>
      </c>
      <c r="B575">
        <v>90</v>
      </c>
      <c r="C575" t="s">
        <v>7</v>
      </c>
      <c r="D575" t="s">
        <v>8</v>
      </c>
      <c r="E575">
        <v>1000000</v>
      </c>
      <c r="F575">
        <v>33.49</v>
      </c>
      <c r="G575">
        <v>40.659999999999997</v>
      </c>
    </row>
    <row r="576" spans="1:7" x14ac:dyDescent="0.25">
      <c r="A576" t="s">
        <v>6</v>
      </c>
      <c r="B576">
        <v>90</v>
      </c>
      <c r="C576" t="s">
        <v>7</v>
      </c>
      <c r="D576" t="s">
        <v>8</v>
      </c>
      <c r="E576">
        <v>1000000</v>
      </c>
      <c r="F576">
        <v>32.67</v>
      </c>
      <c r="G576">
        <v>40.409999999999997</v>
      </c>
    </row>
    <row r="577" spans="1:7" x14ac:dyDescent="0.25">
      <c r="A577" t="s">
        <v>6</v>
      </c>
      <c r="B577">
        <v>90</v>
      </c>
      <c r="C577" t="s">
        <v>7</v>
      </c>
      <c r="D577" t="s">
        <v>8</v>
      </c>
      <c r="E577">
        <v>1000000</v>
      </c>
      <c r="F577">
        <v>34.24</v>
      </c>
      <c r="G577">
        <v>39.369999999999997</v>
      </c>
    </row>
    <row r="578" spans="1:7" x14ac:dyDescent="0.25">
      <c r="A578" t="s">
        <v>6</v>
      </c>
      <c r="B578">
        <v>90</v>
      </c>
      <c r="C578" t="s">
        <v>7</v>
      </c>
      <c r="D578" t="s">
        <v>8</v>
      </c>
      <c r="E578">
        <v>1000000</v>
      </c>
      <c r="F578">
        <v>29.68</v>
      </c>
      <c r="G578">
        <v>40.08</v>
      </c>
    </row>
    <row r="579" spans="1:7" x14ac:dyDescent="0.25">
      <c r="A579" t="s">
        <v>6</v>
      </c>
      <c r="B579">
        <v>90</v>
      </c>
      <c r="C579" t="s">
        <v>7</v>
      </c>
      <c r="D579" t="s">
        <v>8</v>
      </c>
      <c r="E579">
        <v>1000000</v>
      </c>
      <c r="F579">
        <v>33.35</v>
      </c>
      <c r="G579">
        <v>37.96</v>
      </c>
    </row>
    <row r="580" spans="1:7" x14ac:dyDescent="0.25">
      <c r="A580" t="s">
        <v>6</v>
      </c>
      <c r="B580">
        <v>90</v>
      </c>
      <c r="C580" t="s">
        <v>7</v>
      </c>
      <c r="D580" t="s">
        <v>8</v>
      </c>
      <c r="E580">
        <v>1000000</v>
      </c>
      <c r="F580">
        <v>34.159999999999997</v>
      </c>
      <c r="G580">
        <v>40.35</v>
      </c>
    </row>
    <row r="581" spans="1:7" x14ac:dyDescent="0.25">
      <c r="A581" t="s">
        <v>6</v>
      </c>
      <c r="B581">
        <v>90</v>
      </c>
      <c r="C581" t="s">
        <v>7</v>
      </c>
      <c r="D581" t="s">
        <v>8</v>
      </c>
      <c r="E581">
        <v>1000000</v>
      </c>
      <c r="F581">
        <v>30.78</v>
      </c>
      <c r="G581">
        <v>39.020000000000003</v>
      </c>
    </row>
    <row r="582" spans="1:7" x14ac:dyDescent="0.25">
      <c r="A582" t="s">
        <v>6</v>
      </c>
      <c r="B582">
        <v>90</v>
      </c>
      <c r="C582" t="s">
        <v>7</v>
      </c>
      <c r="D582" t="s">
        <v>8</v>
      </c>
      <c r="E582">
        <v>1000000</v>
      </c>
      <c r="F582">
        <v>34.72</v>
      </c>
      <c r="G582">
        <v>38.840000000000003</v>
      </c>
    </row>
    <row r="583" spans="1:7" x14ac:dyDescent="0.25">
      <c r="A583" t="s">
        <v>6</v>
      </c>
      <c r="B583">
        <v>90</v>
      </c>
      <c r="C583" t="s">
        <v>7</v>
      </c>
      <c r="D583" t="s">
        <v>8</v>
      </c>
      <c r="E583">
        <v>1000000</v>
      </c>
      <c r="F583">
        <v>33.51</v>
      </c>
      <c r="G583">
        <v>40.770000000000003</v>
      </c>
    </row>
    <row r="584" spans="1:7" x14ac:dyDescent="0.25">
      <c r="A584" t="s">
        <v>6</v>
      </c>
      <c r="B584">
        <v>90</v>
      </c>
      <c r="C584" t="s">
        <v>7</v>
      </c>
      <c r="D584" t="s">
        <v>8</v>
      </c>
      <c r="E584">
        <v>1000000</v>
      </c>
      <c r="F584">
        <v>32.380000000000003</v>
      </c>
      <c r="G584">
        <v>42.59</v>
      </c>
    </row>
    <row r="585" spans="1:7" x14ac:dyDescent="0.25">
      <c r="A585" t="s">
        <v>6</v>
      </c>
      <c r="B585">
        <v>90</v>
      </c>
      <c r="C585" t="s">
        <v>7</v>
      </c>
      <c r="D585" t="s">
        <v>8</v>
      </c>
      <c r="E585">
        <v>1000000</v>
      </c>
      <c r="F585">
        <v>33.950000000000003</v>
      </c>
      <c r="G585">
        <v>41.88</v>
      </c>
    </row>
    <row r="586" spans="1:7" x14ac:dyDescent="0.25">
      <c r="A586" t="s">
        <v>6</v>
      </c>
      <c r="B586">
        <v>90</v>
      </c>
      <c r="C586" t="s">
        <v>7</v>
      </c>
      <c r="D586" t="s">
        <v>8</v>
      </c>
      <c r="E586">
        <v>1000000</v>
      </c>
      <c r="F586">
        <v>36.409999999999997</v>
      </c>
      <c r="G586">
        <v>38.14</v>
      </c>
    </row>
    <row r="587" spans="1:7" x14ac:dyDescent="0.25">
      <c r="A587" t="s">
        <v>6</v>
      </c>
      <c r="B587">
        <v>90</v>
      </c>
      <c r="C587" t="s">
        <v>7</v>
      </c>
      <c r="D587" t="s">
        <v>8</v>
      </c>
      <c r="E587">
        <v>1000000</v>
      </c>
      <c r="F587">
        <v>33.270000000000003</v>
      </c>
      <c r="G587">
        <v>39.020000000000003</v>
      </c>
    </row>
    <row r="588" spans="1:7" x14ac:dyDescent="0.25">
      <c r="A588" t="s">
        <v>6</v>
      </c>
      <c r="B588">
        <v>90</v>
      </c>
      <c r="C588" t="s">
        <v>7</v>
      </c>
      <c r="D588" t="s">
        <v>8</v>
      </c>
      <c r="E588">
        <v>1000000</v>
      </c>
      <c r="F588">
        <v>33.369999999999997</v>
      </c>
      <c r="G588">
        <v>41.91</v>
      </c>
    </row>
    <row r="589" spans="1:7" x14ac:dyDescent="0.25">
      <c r="A589" t="s">
        <v>6</v>
      </c>
      <c r="B589">
        <v>90</v>
      </c>
      <c r="C589" t="s">
        <v>7</v>
      </c>
      <c r="D589" t="s">
        <v>8</v>
      </c>
      <c r="E589">
        <v>1000000</v>
      </c>
      <c r="F589">
        <v>32.31</v>
      </c>
      <c r="G589">
        <v>39.03</v>
      </c>
    </row>
    <row r="590" spans="1:7" x14ac:dyDescent="0.25">
      <c r="A590" t="s">
        <v>6</v>
      </c>
      <c r="B590">
        <v>90</v>
      </c>
      <c r="C590" t="s">
        <v>7</v>
      </c>
      <c r="D590" t="s">
        <v>8</v>
      </c>
      <c r="E590">
        <v>1000000</v>
      </c>
      <c r="F590">
        <v>31.73</v>
      </c>
      <c r="G590">
        <v>40.159999999999997</v>
      </c>
    </row>
    <row r="591" spans="1:7" x14ac:dyDescent="0.25">
      <c r="A591" t="s">
        <v>6</v>
      </c>
      <c r="B591">
        <v>90</v>
      </c>
      <c r="C591" t="s">
        <v>7</v>
      </c>
      <c r="D591" t="s">
        <v>8</v>
      </c>
      <c r="E591">
        <v>1000000</v>
      </c>
      <c r="F591">
        <v>34.25</v>
      </c>
      <c r="G591">
        <v>41.33</v>
      </c>
    </row>
    <row r="592" spans="1:7" x14ac:dyDescent="0.25">
      <c r="A592" t="s">
        <v>6</v>
      </c>
      <c r="B592">
        <v>90</v>
      </c>
      <c r="C592" t="s">
        <v>7</v>
      </c>
      <c r="D592" t="s">
        <v>8</v>
      </c>
      <c r="E592">
        <v>1000000</v>
      </c>
      <c r="F592">
        <v>31.72</v>
      </c>
      <c r="G592">
        <v>39.049999999999997</v>
      </c>
    </row>
    <row r="593" spans="1:7" x14ac:dyDescent="0.25">
      <c r="A593" t="s">
        <v>6</v>
      </c>
      <c r="B593">
        <v>90</v>
      </c>
      <c r="C593" t="s">
        <v>7</v>
      </c>
      <c r="D593" t="s">
        <v>8</v>
      </c>
      <c r="E593">
        <v>1000000</v>
      </c>
      <c r="F593">
        <v>33.11</v>
      </c>
      <c r="G593">
        <v>40.659999999999997</v>
      </c>
    </row>
    <row r="594" spans="1:7" x14ac:dyDescent="0.25">
      <c r="A594" t="s">
        <v>6</v>
      </c>
      <c r="B594">
        <v>90</v>
      </c>
      <c r="C594" t="s">
        <v>7</v>
      </c>
      <c r="D594" t="s">
        <v>8</v>
      </c>
      <c r="E594">
        <v>1000000</v>
      </c>
      <c r="F594">
        <v>32.28</v>
      </c>
      <c r="G594">
        <v>38.5</v>
      </c>
    </row>
    <row r="595" spans="1:7" x14ac:dyDescent="0.25">
      <c r="A595" t="s">
        <v>6</v>
      </c>
      <c r="B595">
        <v>90</v>
      </c>
      <c r="C595" t="s">
        <v>7</v>
      </c>
      <c r="D595" t="s">
        <v>8</v>
      </c>
      <c r="E595">
        <v>1000000</v>
      </c>
      <c r="F595">
        <v>33.72</v>
      </c>
      <c r="G595">
        <v>39.6</v>
      </c>
    </row>
    <row r="596" spans="1:7" x14ac:dyDescent="0.25">
      <c r="A596" t="s">
        <v>6</v>
      </c>
      <c r="B596">
        <v>90</v>
      </c>
      <c r="C596" t="s">
        <v>7</v>
      </c>
      <c r="D596" t="s">
        <v>8</v>
      </c>
      <c r="E596">
        <v>1000000</v>
      </c>
      <c r="F596">
        <v>33.5</v>
      </c>
      <c r="G596">
        <v>40.98</v>
      </c>
    </row>
    <row r="597" spans="1:7" x14ac:dyDescent="0.25">
      <c r="A597" t="s">
        <v>6</v>
      </c>
      <c r="B597">
        <v>90</v>
      </c>
      <c r="C597" t="s">
        <v>7</v>
      </c>
      <c r="D597" t="s">
        <v>8</v>
      </c>
      <c r="E597">
        <v>1000000</v>
      </c>
      <c r="F597">
        <v>34.56</v>
      </c>
      <c r="G597">
        <v>38.11</v>
      </c>
    </row>
    <row r="598" spans="1:7" x14ac:dyDescent="0.25">
      <c r="A598" t="s">
        <v>6</v>
      </c>
      <c r="B598">
        <v>90</v>
      </c>
      <c r="C598" t="s">
        <v>7</v>
      </c>
      <c r="D598" t="s">
        <v>8</v>
      </c>
      <c r="E598">
        <v>1000000</v>
      </c>
      <c r="F598">
        <v>32.229999999999997</v>
      </c>
      <c r="G598">
        <v>41.16</v>
      </c>
    </row>
    <row r="599" spans="1:7" x14ac:dyDescent="0.25">
      <c r="A599" t="s">
        <v>6</v>
      </c>
      <c r="B599">
        <v>90</v>
      </c>
      <c r="C599" t="s">
        <v>7</v>
      </c>
      <c r="D599" t="s">
        <v>8</v>
      </c>
      <c r="E599">
        <v>1000000</v>
      </c>
      <c r="F599">
        <v>32.6</v>
      </c>
      <c r="G599">
        <v>40.47</v>
      </c>
    </row>
    <row r="600" spans="1:7" x14ac:dyDescent="0.25">
      <c r="A600" t="s">
        <v>6</v>
      </c>
      <c r="B600">
        <v>90</v>
      </c>
      <c r="C600" t="s">
        <v>7</v>
      </c>
      <c r="D600" t="s">
        <v>8</v>
      </c>
      <c r="E600">
        <v>1000000</v>
      </c>
      <c r="F600">
        <v>31.53</v>
      </c>
      <c r="G600">
        <v>41.33</v>
      </c>
    </row>
    <row r="601" spans="1:7" x14ac:dyDescent="0.25">
      <c r="A601" t="s">
        <v>6</v>
      </c>
      <c r="B601">
        <v>90</v>
      </c>
      <c r="C601" t="s">
        <v>7</v>
      </c>
      <c r="D601" t="s">
        <v>8</v>
      </c>
      <c r="E601">
        <v>1000000</v>
      </c>
      <c r="F601">
        <v>32.33</v>
      </c>
      <c r="G601">
        <v>40.840000000000003</v>
      </c>
    </row>
    <row r="602" spans="1:7" x14ac:dyDescent="0.25">
      <c r="A602" t="s">
        <v>6</v>
      </c>
      <c r="B602">
        <v>90</v>
      </c>
      <c r="C602" t="s">
        <v>7</v>
      </c>
      <c r="D602" t="s">
        <v>8</v>
      </c>
      <c r="E602">
        <v>1000000</v>
      </c>
      <c r="F602">
        <v>33.57</v>
      </c>
      <c r="G602">
        <v>42.55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5"/>
  <sheetViews>
    <sheetView topLeftCell="A94" workbookViewId="0">
      <selection activeCell="A94" sqref="A1:XFD1048576"/>
    </sheetView>
  </sheetViews>
  <sheetFormatPr defaultRowHeight="15" x14ac:dyDescent="0.25"/>
  <cols>
    <col min="1" max="1" width="13.5703125" bestFit="1" customWidth="1"/>
    <col min="3" max="3" width="11" customWidth="1"/>
  </cols>
  <sheetData>
    <row r="4" spans="1:13" x14ac:dyDescent="0.2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>
        <v>1</v>
      </c>
      <c r="B5">
        <v>20.25</v>
      </c>
      <c r="C5">
        <v>23.14</v>
      </c>
      <c r="D5">
        <v>21.38</v>
      </c>
      <c r="E5">
        <v>25.72</v>
      </c>
      <c r="F5">
        <v>26.04</v>
      </c>
      <c r="G5">
        <v>30.91</v>
      </c>
      <c r="H5">
        <v>26.76</v>
      </c>
      <c r="I5">
        <v>33.549999999999997</v>
      </c>
      <c r="J5">
        <v>28.61</v>
      </c>
      <c r="K5">
        <v>39.1</v>
      </c>
      <c r="L5">
        <v>34.39</v>
      </c>
      <c r="M5">
        <v>42</v>
      </c>
    </row>
    <row r="6" spans="1:13" x14ac:dyDescent="0.25">
      <c r="A6">
        <v>2</v>
      </c>
      <c r="B6">
        <v>19.29</v>
      </c>
      <c r="C6">
        <v>20.62</v>
      </c>
      <c r="D6">
        <v>22.87</v>
      </c>
      <c r="E6">
        <v>28.07</v>
      </c>
      <c r="F6">
        <v>26.34</v>
      </c>
      <c r="G6">
        <v>28.73</v>
      </c>
      <c r="H6">
        <v>27.16</v>
      </c>
      <c r="I6">
        <v>32.409999999999997</v>
      </c>
      <c r="J6">
        <v>30.1</v>
      </c>
      <c r="K6">
        <v>38.39</v>
      </c>
      <c r="L6">
        <v>35.86</v>
      </c>
      <c r="M6">
        <v>36.159999999999997</v>
      </c>
    </row>
    <row r="7" spans="1:13" x14ac:dyDescent="0.25">
      <c r="A7">
        <v>3</v>
      </c>
      <c r="B7">
        <v>20.47</v>
      </c>
      <c r="C7">
        <v>23.3</v>
      </c>
      <c r="D7">
        <v>22.99</v>
      </c>
      <c r="E7">
        <v>25.44</v>
      </c>
      <c r="F7">
        <v>27.12</v>
      </c>
      <c r="G7">
        <v>29.64</v>
      </c>
      <c r="H7">
        <v>29.12</v>
      </c>
      <c r="I7">
        <v>33.04</v>
      </c>
      <c r="J7">
        <v>31.01</v>
      </c>
      <c r="K7">
        <v>37.090000000000003</v>
      </c>
      <c r="L7">
        <v>30.9</v>
      </c>
      <c r="M7">
        <v>43.63</v>
      </c>
    </row>
    <row r="8" spans="1:13" x14ac:dyDescent="0.25">
      <c r="A8">
        <v>4</v>
      </c>
      <c r="B8">
        <v>21.78</v>
      </c>
      <c r="C8">
        <v>24.03</v>
      </c>
      <c r="D8">
        <v>22.3</v>
      </c>
      <c r="E8">
        <v>24.39</v>
      </c>
      <c r="F8">
        <v>27.08</v>
      </c>
      <c r="G8">
        <v>28.81</v>
      </c>
      <c r="H8">
        <v>28.92</v>
      </c>
      <c r="I8">
        <v>34.92</v>
      </c>
      <c r="J8">
        <v>31.07</v>
      </c>
      <c r="K8">
        <v>36.03</v>
      </c>
      <c r="L8">
        <v>33.840000000000003</v>
      </c>
      <c r="M8">
        <v>40.29</v>
      </c>
    </row>
    <row r="9" spans="1:13" x14ac:dyDescent="0.25">
      <c r="A9">
        <v>5</v>
      </c>
      <c r="B9">
        <v>19.149999999999999</v>
      </c>
      <c r="C9">
        <v>22.62</v>
      </c>
      <c r="D9">
        <v>23.26</v>
      </c>
      <c r="E9">
        <v>24.17</v>
      </c>
      <c r="F9">
        <v>23.43</v>
      </c>
      <c r="G9">
        <v>28.85</v>
      </c>
      <c r="H9">
        <v>27.97</v>
      </c>
      <c r="I9">
        <v>33.29</v>
      </c>
      <c r="J9">
        <v>30.32</v>
      </c>
      <c r="K9">
        <v>38.049999999999997</v>
      </c>
      <c r="L9">
        <v>32.020000000000003</v>
      </c>
      <c r="M9">
        <v>42.16</v>
      </c>
    </row>
    <row r="10" spans="1:13" x14ac:dyDescent="0.25">
      <c r="A10">
        <v>6</v>
      </c>
      <c r="B10">
        <v>19.149999999999999</v>
      </c>
      <c r="C10">
        <v>24.82</v>
      </c>
      <c r="D10">
        <v>24.11</v>
      </c>
      <c r="E10">
        <v>27.41</v>
      </c>
      <c r="F10">
        <v>24.09</v>
      </c>
      <c r="G10">
        <v>29.04</v>
      </c>
      <c r="H10">
        <v>28.18</v>
      </c>
      <c r="I10">
        <v>33.07</v>
      </c>
      <c r="J10">
        <v>31.93</v>
      </c>
      <c r="K10">
        <v>37.590000000000003</v>
      </c>
      <c r="L10">
        <v>32.270000000000003</v>
      </c>
      <c r="M10">
        <v>38.94</v>
      </c>
    </row>
    <row r="11" spans="1:13" x14ac:dyDescent="0.25">
      <c r="A11">
        <v>7</v>
      </c>
      <c r="B11">
        <v>21.87</v>
      </c>
      <c r="C11">
        <v>20.84</v>
      </c>
      <c r="D11">
        <v>26.33</v>
      </c>
      <c r="E11">
        <v>24.58</v>
      </c>
      <c r="F11">
        <v>26.27</v>
      </c>
      <c r="G11">
        <v>29.83</v>
      </c>
      <c r="H11">
        <v>29.92</v>
      </c>
      <c r="I11">
        <v>30.96</v>
      </c>
      <c r="J11">
        <v>29.4</v>
      </c>
      <c r="K11">
        <v>38.340000000000003</v>
      </c>
      <c r="L11">
        <v>32.11</v>
      </c>
      <c r="M11">
        <v>41.42</v>
      </c>
    </row>
    <row r="12" spans="1:13" x14ac:dyDescent="0.25">
      <c r="A12">
        <v>8</v>
      </c>
      <c r="B12">
        <v>20.65</v>
      </c>
      <c r="C12">
        <v>20.13</v>
      </c>
      <c r="D12">
        <v>23.76</v>
      </c>
      <c r="E12">
        <v>29.13</v>
      </c>
      <c r="F12">
        <v>26.27</v>
      </c>
      <c r="G12">
        <v>28.78</v>
      </c>
      <c r="H12">
        <v>27.11</v>
      </c>
      <c r="I12">
        <v>34.119999999999997</v>
      </c>
      <c r="J12">
        <v>30.79</v>
      </c>
      <c r="K12">
        <v>37.950000000000003</v>
      </c>
      <c r="L12">
        <v>31.7</v>
      </c>
      <c r="M12">
        <v>38.92</v>
      </c>
    </row>
    <row r="13" spans="1:13" x14ac:dyDescent="0.25">
      <c r="A13">
        <v>9</v>
      </c>
      <c r="B13">
        <v>18.8</v>
      </c>
      <c r="C13">
        <v>19.329999999999998</v>
      </c>
      <c r="D13">
        <v>23.89</v>
      </c>
      <c r="E13">
        <v>23.38</v>
      </c>
      <c r="F13">
        <v>26.27</v>
      </c>
      <c r="G13">
        <v>31.38</v>
      </c>
      <c r="H13">
        <v>28.82</v>
      </c>
      <c r="I13">
        <v>33.97</v>
      </c>
      <c r="J13">
        <v>31.18</v>
      </c>
      <c r="K13">
        <v>38.57</v>
      </c>
      <c r="L13">
        <v>33.07</v>
      </c>
      <c r="M13">
        <v>39.56</v>
      </c>
    </row>
    <row r="14" spans="1:13" x14ac:dyDescent="0.25">
      <c r="A14">
        <v>10</v>
      </c>
      <c r="B14">
        <v>20.309999999999999</v>
      </c>
      <c r="C14">
        <v>24.24</v>
      </c>
      <c r="D14">
        <v>23.39</v>
      </c>
      <c r="E14">
        <v>29.04</v>
      </c>
      <c r="F14">
        <v>31.28</v>
      </c>
      <c r="G14">
        <v>28.16</v>
      </c>
      <c r="H14">
        <v>27.7</v>
      </c>
      <c r="I14">
        <v>36.24</v>
      </c>
      <c r="J14">
        <v>31.77</v>
      </c>
      <c r="K14">
        <v>36.200000000000003</v>
      </c>
      <c r="L14">
        <v>31.75</v>
      </c>
      <c r="M14">
        <v>43.37</v>
      </c>
    </row>
    <row r="15" spans="1:13" x14ac:dyDescent="0.25">
      <c r="A15">
        <v>11</v>
      </c>
      <c r="B15">
        <v>18.8</v>
      </c>
      <c r="C15">
        <v>22.98</v>
      </c>
      <c r="D15">
        <v>20.62</v>
      </c>
      <c r="E15">
        <v>26.82</v>
      </c>
      <c r="F15">
        <v>26.36</v>
      </c>
      <c r="G15">
        <v>29.22</v>
      </c>
      <c r="H15">
        <v>27.67</v>
      </c>
      <c r="I15">
        <v>32.54</v>
      </c>
      <c r="J15">
        <v>32.07</v>
      </c>
      <c r="K15">
        <v>38.979999999999997</v>
      </c>
      <c r="L15">
        <v>33.409999999999997</v>
      </c>
      <c r="M15">
        <v>40.21</v>
      </c>
    </row>
    <row r="16" spans="1:13" x14ac:dyDescent="0.25">
      <c r="A16">
        <v>12</v>
      </c>
      <c r="B16">
        <v>18.8</v>
      </c>
      <c r="C16">
        <v>21.92</v>
      </c>
      <c r="D16">
        <v>23.46</v>
      </c>
      <c r="E16">
        <v>26.35</v>
      </c>
      <c r="F16">
        <v>27.2</v>
      </c>
      <c r="G16">
        <v>28.84</v>
      </c>
      <c r="H16">
        <v>29.65</v>
      </c>
      <c r="I16">
        <v>33.33</v>
      </c>
      <c r="J16">
        <v>29.31</v>
      </c>
      <c r="K16">
        <v>37.299999999999997</v>
      </c>
      <c r="L16">
        <v>32.92</v>
      </c>
      <c r="M16">
        <v>40.83</v>
      </c>
    </row>
    <row r="17" spans="1:13" x14ac:dyDescent="0.25">
      <c r="A17">
        <v>13</v>
      </c>
      <c r="B17">
        <v>19.86</v>
      </c>
      <c r="C17">
        <v>22.42</v>
      </c>
      <c r="D17">
        <v>23.59</v>
      </c>
      <c r="E17">
        <v>25.68</v>
      </c>
      <c r="F17">
        <v>26.93</v>
      </c>
      <c r="G17">
        <v>31.67</v>
      </c>
      <c r="H17">
        <v>29.24</v>
      </c>
      <c r="I17">
        <v>33.369999999999997</v>
      </c>
      <c r="J17">
        <v>28.7</v>
      </c>
      <c r="K17">
        <v>40.11</v>
      </c>
      <c r="L17">
        <v>32.64</v>
      </c>
      <c r="M17">
        <v>41.81</v>
      </c>
    </row>
    <row r="18" spans="1:13" x14ac:dyDescent="0.25">
      <c r="A18">
        <v>14</v>
      </c>
      <c r="B18">
        <v>16.63</v>
      </c>
      <c r="C18">
        <v>20.309999999999999</v>
      </c>
      <c r="D18">
        <v>27.19</v>
      </c>
      <c r="E18">
        <v>27.1</v>
      </c>
      <c r="F18">
        <v>26.48</v>
      </c>
      <c r="G18">
        <v>29.79</v>
      </c>
      <c r="H18">
        <v>29.22</v>
      </c>
      <c r="I18">
        <v>35.369999999999997</v>
      </c>
      <c r="J18">
        <v>32.92</v>
      </c>
      <c r="K18">
        <v>35.97</v>
      </c>
      <c r="L18">
        <v>31.64</v>
      </c>
      <c r="M18">
        <v>41.24</v>
      </c>
    </row>
    <row r="19" spans="1:13" x14ac:dyDescent="0.25">
      <c r="A19">
        <v>15</v>
      </c>
      <c r="B19">
        <v>16.91</v>
      </c>
      <c r="C19">
        <v>25.67</v>
      </c>
      <c r="D19">
        <v>23.21</v>
      </c>
      <c r="E19">
        <v>26.44</v>
      </c>
      <c r="F19">
        <v>25.03</v>
      </c>
      <c r="G19">
        <v>31.05</v>
      </c>
      <c r="H19">
        <v>29.96</v>
      </c>
      <c r="I19">
        <v>32.86</v>
      </c>
      <c r="J19">
        <v>31.5</v>
      </c>
      <c r="K19">
        <v>39.6</v>
      </c>
      <c r="L19">
        <v>32.130000000000003</v>
      </c>
      <c r="M19">
        <v>40.729999999999997</v>
      </c>
    </row>
    <row r="20" spans="1:13" x14ac:dyDescent="0.25">
      <c r="A20">
        <v>16</v>
      </c>
      <c r="B20">
        <v>18.66</v>
      </c>
      <c r="C20">
        <v>22.19</v>
      </c>
      <c r="D20">
        <v>23.95</v>
      </c>
      <c r="E20">
        <v>28.15</v>
      </c>
      <c r="F20">
        <v>26.64</v>
      </c>
      <c r="G20">
        <v>27.27</v>
      </c>
      <c r="H20">
        <v>28.03</v>
      </c>
      <c r="I20">
        <v>33.42</v>
      </c>
      <c r="J20">
        <v>29.88</v>
      </c>
      <c r="K20">
        <v>37.299999999999997</v>
      </c>
      <c r="L20">
        <v>34.130000000000003</v>
      </c>
      <c r="M20">
        <v>41.05</v>
      </c>
    </row>
    <row r="21" spans="1:13" x14ac:dyDescent="0.25">
      <c r="A21">
        <v>17</v>
      </c>
      <c r="B21">
        <v>17.98</v>
      </c>
      <c r="C21">
        <v>22.16</v>
      </c>
      <c r="D21">
        <v>23.45</v>
      </c>
      <c r="E21">
        <v>26.67</v>
      </c>
      <c r="F21">
        <v>24.34</v>
      </c>
      <c r="G21">
        <v>29.9</v>
      </c>
      <c r="H21">
        <v>29.02</v>
      </c>
      <c r="I21">
        <v>33.909999999999997</v>
      </c>
      <c r="J21">
        <v>33.33</v>
      </c>
      <c r="K21">
        <v>36.020000000000003</v>
      </c>
      <c r="L21">
        <v>33.75</v>
      </c>
      <c r="M21">
        <v>44.11</v>
      </c>
    </row>
    <row r="22" spans="1:13" x14ac:dyDescent="0.25">
      <c r="A22">
        <v>18</v>
      </c>
      <c r="B22">
        <v>19.97</v>
      </c>
      <c r="C22">
        <v>23.09</v>
      </c>
      <c r="D22">
        <v>21.75</v>
      </c>
      <c r="E22">
        <v>26.73</v>
      </c>
      <c r="F22">
        <v>25.14</v>
      </c>
      <c r="G22">
        <v>30.83</v>
      </c>
      <c r="H22">
        <v>27.53</v>
      </c>
      <c r="I22">
        <v>33.28</v>
      </c>
      <c r="J22">
        <v>31.17</v>
      </c>
      <c r="K22">
        <v>36.270000000000003</v>
      </c>
      <c r="L22">
        <v>31.53</v>
      </c>
      <c r="M22">
        <v>40.409999999999997</v>
      </c>
    </row>
    <row r="23" spans="1:13" x14ac:dyDescent="0.25">
      <c r="A23">
        <v>19</v>
      </c>
      <c r="B23">
        <v>18.14</v>
      </c>
      <c r="C23">
        <v>22.72</v>
      </c>
      <c r="D23">
        <v>25.21</v>
      </c>
      <c r="E23">
        <v>25.95</v>
      </c>
      <c r="F23">
        <v>24.77</v>
      </c>
      <c r="G23">
        <v>29.62</v>
      </c>
      <c r="H23">
        <v>28.49</v>
      </c>
      <c r="I23">
        <v>32.33</v>
      </c>
      <c r="J23">
        <v>32.770000000000003</v>
      </c>
      <c r="K23">
        <v>36.520000000000003</v>
      </c>
      <c r="L23">
        <v>33.15</v>
      </c>
      <c r="M23">
        <v>40.799999999999997</v>
      </c>
    </row>
    <row r="24" spans="1:13" x14ac:dyDescent="0.25">
      <c r="A24">
        <v>20</v>
      </c>
      <c r="B24">
        <v>17.38</v>
      </c>
      <c r="C24">
        <v>22.34</v>
      </c>
      <c r="D24">
        <v>24.63</v>
      </c>
      <c r="E24">
        <v>26.41</v>
      </c>
      <c r="F24">
        <v>25.62</v>
      </c>
      <c r="G24">
        <v>31.1</v>
      </c>
      <c r="H24">
        <v>27.8</v>
      </c>
      <c r="I24">
        <v>33.29</v>
      </c>
      <c r="J24">
        <v>31.1</v>
      </c>
      <c r="K24">
        <v>37.64</v>
      </c>
      <c r="L24">
        <v>34.130000000000003</v>
      </c>
      <c r="M24">
        <v>42.08</v>
      </c>
    </row>
    <row r="25" spans="1:13" x14ac:dyDescent="0.25">
      <c r="A25">
        <v>21</v>
      </c>
      <c r="B25">
        <v>21.7</v>
      </c>
      <c r="C25">
        <v>20.81</v>
      </c>
      <c r="D25">
        <v>24.69</v>
      </c>
      <c r="E25">
        <v>26.96</v>
      </c>
      <c r="F25">
        <v>28.97</v>
      </c>
      <c r="G25">
        <v>28.72</v>
      </c>
      <c r="H25">
        <v>28.15</v>
      </c>
      <c r="I25">
        <v>34.61</v>
      </c>
      <c r="J25">
        <v>34.090000000000003</v>
      </c>
      <c r="K25">
        <v>37.78</v>
      </c>
      <c r="L25">
        <v>30.5</v>
      </c>
      <c r="M25">
        <v>42.16</v>
      </c>
    </row>
    <row r="26" spans="1:13" x14ac:dyDescent="0.25">
      <c r="A26">
        <v>22</v>
      </c>
      <c r="B26">
        <v>19.16</v>
      </c>
      <c r="C26">
        <v>22.71</v>
      </c>
      <c r="D26">
        <v>22.14</v>
      </c>
      <c r="E26">
        <v>23.93</v>
      </c>
      <c r="F26">
        <v>22.7</v>
      </c>
      <c r="G26">
        <v>31.61</v>
      </c>
      <c r="H26">
        <v>28.89</v>
      </c>
      <c r="I26">
        <v>31.46</v>
      </c>
      <c r="J26">
        <v>33.630000000000003</v>
      </c>
      <c r="K26">
        <v>36.14</v>
      </c>
      <c r="L26">
        <v>33.82</v>
      </c>
      <c r="M26">
        <v>42.28</v>
      </c>
    </row>
    <row r="27" spans="1:13" x14ac:dyDescent="0.25">
      <c r="A27">
        <v>23</v>
      </c>
      <c r="B27">
        <v>19.600000000000001</v>
      </c>
      <c r="C27">
        <v>24.82</v>
      </c>
      <c r="D27">
        <v>25.6</v>
      </c>
      <c r="E27">
        <v>24.48</v>
      </c>
      <c r="F27">
        <v>26.53</v>
      </c>
      <c r="G27">
        <v>32.950000000000003</v>
      </c>
      <c r="H27">
        <v>26.77</v>
      </c>
      <c r="I27">
        <v>33.200000000000003</v>
      </c>
      <c r="J27">
        <v>30.63</v>
      </c>
      <c r="K27">
        <v>36.96</v>
      </c>
      <c r="L27">
        <v>32.01</v>
      </c>
      <c r="M27">
        <v>41.46</v>
      </c>
    </row>
    <row r="28" spans="1:13" x14ac:dyDescent="0.25">
      <c r="A28">
        <v>24</v>
      </c>
      <c r="B28">
        <v>17.36</v>
      </c>
      <c r="C28">
        <v>24.02</v>
      </c>
      <c r="D28">
        <v>21.4</v>
      </c>
      <c r="E28">
        <v>27.61</v>
      </c>
      <c r="F28">
        <v>23.08</v>
      </c>
      <c r="G28">
        <v>28.96</v>
      </c>
      <c r="H28">
        <v>31.14</v>
      </c>
      <c r="I28">
        <v>31.95</v>
      </c>
      <c r="J28">
        <v>32.46</v>
      </c>
      <c r="K28">
        <v>40.21</v>
      </c>
      <c r="L28">
        <v>33.86</v>
      </c>
      <c r="M28">
        <v>38.79</v>
      </c>
    </row>
    <row r="29" spans="1:13" x14ac:dyDescent="0.25">
      <c r="A29">
        <v>25</v>
      </c>
      <c r="B29">
        <v>18.68</v>
      </c>
      <c r="C29">
        <v>24.39</v>
      </c>
      <c r="D29">
        <v>24.38</v>
      </c>
      <c r="E29">
        <v>26.76</v>
      </c>
      <c r="F29">
        <v>24.79</v>
      </c>
      <c r="G29">
        <v>28.83</v>
      </c>
      <c r="H29">
        <v>26.49</v>
      </c>
      <c r="I29">
        <v>34.79</v>
      </c>
      <c r="J29">
        <v>31.97</v>
      </c>
      <c r="K29">
        <v>39.590000000000003</v>
      </c>
      <c r="L29">
        <v>31.86</v>
      </c>
      <c r="M29">
        <v>42.95</v>
      </c>
    </row>
    <row r="30" spans="1:13" x14ac:dyDescent="0.25">
      <c r="A30">
        <v>26</v>
      </c>
      <c r="B30">
        <v>19.670000000000002</v>
      </c>
      <c r="C30">
        <v>21.23</v>
      </c>
      <c r="D30">
        <v>26.79</v>
      </c>
      <c r="E30">
        <v>26.22</v>
      </c>
      <c r="F30">
        <v>27.13</v>
      </c>
      <c r="G30">
        <v>31.68</v>
      </c>
      <c r="H30">
        <v>26.18</v>
      </c>
      <c r="I30">
        <v>30.72</v>
      </c>
      <c r="J30">
        <v>33.049999999999997</v>
      </c>
      <c r="K30">
        <v>37.65</v>
      </c>
      <c r="L30">
        <v>30.29</v>
      </c>
      <c r="M30">
        <v>38.78</v>
      </c>
    </row>
    <row r="31" spans="1:13" x14ac:dyDescent="0.25">
      <c r="A31">
        <v>27</v>
      </c>
      <c r="B31">
        <v>17.77</v>
      </c>
      <c r="C31">
        <v>20.52</v>
      </c>
      <c r="D31">
        <v>22.01</v>
      </c>
      <c r="E31">
        <v>26.53</v>
      </c>
      <c r="F31">
        <v>25.6</v>
      </c>
      <c r="G31">
        <v>31.87</v>
      </c>
      <c r="H31">
        <v>29.74</v>
      </c>
      <c r="I31">
        <v>32.159999999999997</v>
      </c>
      <c r="J31">
        <v>29.55</v>
      </c>
      <c r="K31">
        <v>37.06</v>
      </c>
      <c r="L31">
        <v>30.56</v>
      </c>
      <c r="M31">
        <v>40.950000000000003</v>
      </c>
    </row>
    <row r="32" spans="1:13" x14ac:dyDescent="0.25">
      <c r="A32">
        <v>28</v>
      </c>
      <c r="B32">
        <v>20.059999999999999</v>
      </c>
      <c r="C32">
        <v>21.81</v>
      </c>
      <c r="D32">
        <v>22.65</v>
      </c>
      <c r="E32">
        <v>27.02</v>
      </c>
      <c r="F32">
        <v>23.88</v>
      </c>
      <c r="G32">
        <v>28.72</v>
      </c>
      <c r="H32">
        <v>29.19</v>
      </c>
      <c r="I32">
        <v>33.57</v>
      </c>
      <c r="J32">
        <v>32.03</v>
      </c>
      <c r="K32">
        <v>37.18</v>
      </c>
      <c r="L32">
        <v>33.07</v>
      </c>
      <c r="M32">
        <v>39.369999999999997</v>
      </c>
    </row>
    <row r="33" spans="1:13" x14ac:dyDescent="0.25">
      <c r="A33">
        <v>29</v>
      </c>
      <c r="B33">
        <v>18.600000000000001</v>
      </c>
      <c r="C33">
        <v>22.08</v>
      </c>
      <c r="D33">
        <v>23.65</v>
      </c>
      <c r="E33">
        <v>25.69</v>
      </c>
      <c r="F33">
        <v>24.43</v>
      </c>
      <c r="G33">
        <v>28.87</v>
      </c>
      <c r="H33">
        <v>28.94</v>
      </c>
      <c r="I33">
        <v>35.35</v>
      </c>
      <c r="J33">
        <v>32.590000000000003</v>
      </c>
      <c r="K33">
        <v>37.92</v>
      </c>
      <c r="L33">
        <v>33.39</v>
      </c>
      <c r="M33">
        <v>40.4</v>
      </c>
    </row>
    <row r="34" spans="1:13" x14ac:dyDescent="0.25">
      <c r="A34">
        <v>30</v>
      </c>
      <c r="B34">
        <v>19.059999999999999</v>
      </c>
      <c r="C34">
        <v>23.64</v>
      </c>
      <c r="D34">
        <v>22.74</v>
      </c>
      <c r="E34">
        <v>25.33</v>
      </c>
      <c r="F34">
        <v>26.52</v>
      </c>
      <c r="G34">
        <v>29.08</v>
      </c>
      <c r="H34">
        <v>28.94</v>
      </c>
      <c r="I34">
        <v>32.9</v>
      </c>
      <c r="J34">
        <v>28.36</v>
      </c>
      <c r="K34">
        <v>35.47</v>
      </c>
      <c r="L34">
        <v>31.64</v>
      </c>
      <c r="M34">
        <v>40.99</v>
      </c>
    </row>
    <row r="35" spans="1:13" x14ac:dyDescent="0.25">
      <c r="A35">
        <v>31</v>
      </c>
      <c r="B35">
        <v>18.600000000000001</v>
      </c>
      <c r="C35">
        <v>19.46</v>
      </c>
      <c r="D35">
        <v>21.17</v>
      </c>
      <c r="E35">
        <v>26.79</v>
      </c>
      <c r="F35">
        <v>24.4</v>
      </c>
      <c r="G35">
        <v>27.48</v>
      </c>
      <c r="H35">
        <v>27.98</v>
      </c>
      <c r="I35">
        <v>32.17</v>
      </c>
      <c r="J35">
        <v>29.23</v>
      </c>
      <c r="K35">
        <v>36.61</v>
      </c>
      <c r="L35">
        <v>33.96</v>
      </c>
      <c r="M35">
        <v>40.98</v>
      </c>
    </row>
    <row r="36" spans="1:13" x14ac:dyDescent="0.25">
      <c r="A36">
        <v>32</v>
      </c>
      <c r="B36">
        <v>22.28</v>
      </c>
      <c r="C36">
        <v>24.29</v>
      </c>
      <c r="D36">
        <v>23.6</v>
      </c>
      <c r="E36">
        <v>25.03</v>
      </c>
      <c r="F36">
        <v>25.82</v>
      </c>
      <c r="G36">
        <v>28.12</v>
      </c>
      <c r="H36">
        <v>26.65</v>
      </c>
      <c r="I36">
        <v>35.82</v>
      </c>
      <c r="J36">
        <v>27.94</v>
      </c>
      <c r="K36">
        <v>34.5</v>
      </c>
      <c r="L36">
        <v>30.51</v>
      </c>
      <c r="M36">
        <v>41.13</v>
      </c>
    </row>
    <row r="37" spans="1:13" x14ac:dyDescent="0.25">
      <c r="A37">
        <v>33</v>
      </c>
      <c r="B37">
        <v>19.48</v>
      </c>
      <c r="C37">
        <v>21.76</v>
      </c>
      <c r="D37">
        <v>21.91</v>
      </c>
      <c r="E37">
        <v>27.11</v>
      </c>
      <c r="F37">
        <v>25.57</v>
      </c>
      <c r="G37">
        <v>27.99</v>
      </c>
      <c r="H37">
        <v>28.11</v>
      </c>
      <c r="I37">
        <v>30.83</v>
      </c>
      <c r="J37">
        <v>30.6</v>
      </c>
      <c r="K37">
        <v>37.6</v>
      </c>
      <c r="L37">
        <v>32.9</v>
      </c>
      <c r="M37">
        <v>42.92</v>
      </c>
    </row>
    <row r="38" spans="1:13" x14ac:dyDescent="0.25">
      <c r="A38">
        <v>34</v>
      </c>
      <c r="B38">
        <v>17.91</v>
      </c>
      <c r="C38">
        <v>21.36</v>
      </c>
      <c r="D38">
        <v>24.21</v>
      </c>
      <c r="E38">
        <v>23.95</v>
      </c>
      <c r="F38">
        <v>24.52</v>
      </c>
      <c r="G38">
        <v>28.35</v>
      </c>
      <c r="H38">
        <v>26.98</v>
      </c>
      <c r="I38">
        <v>29.7</v>
      </c>
      <c r="J38">
        <v>32.08</v>
      </c>
      <c r="K38">
        <v>37.97</v>
      </c>
      <c r="L38">
        <v>31.18</v>
      </c>
      <c r="M38">
        <v>41.18</v>
      </c>
    </row>
    <row r="39" spans="1:13" x14ac:dyDescent="0.25">
      <c r="A39">
        <v>35</v>
      </c>
      <c r="B39">
        <v>20.73</v>
      </c>
      <c r="C39">
        <v>20.48</v>
      </c>
      <c r="D39">
        <v>22.12</v>
      </c>
      <c r="E39">
        <v>28.04</v>
      </c>
      <c r="F39">
        <v>28.72</v>
      </c>
      <c r="G39">
        <v>29.45</v>
      </c>
      <c r="H39">
        <v>29.46</v>
      </c>
      <c r="I39">
        <v>33.659999999999997</v>
      </c>
      <c r="J39">
        <v>33.25</v>
      </c>
      <c r="K39">
        <v>36.28</v>
      </c>
      <c r="L39">
        <v>32.020000000000003</v>
      </c>
      <c r="M39">
        <v>40.130000000000003</v>
      </c>
    </row>
    <row r="40" spans="1:13" x14ac:dyDescent="0.25">
      <c r="A40">
        <v>36</v>
      </c>
      <c r="B40">
        <v>17.670000000000002</v>
      </c>
      <c r="C40">
        <v>19.52</v>
      </c>
      <c r="D40">
        <v>25.82</v>
      </c>
      <c r="E40">
        <v>27.21</v>
      </c>
      <c r="F40">
        <v>26.45</v>
      </c>
      <c r="G40">
        <v>29.85</v>
      </c>
      <c r="H40">
        <v>27.78</v>
      </c>
      <c r="I40">
        <v>32.25</v>
      </c>
      <c r="J40">
        <v>31.11</v>
      </c>
      <c r="K40">
        <v>39.36</v>
      </c>
      <c r="L40">
        <v>33.07</v>
      </c>
      <c r="M40">
        <v>41.95</v>
      </c>
    </row>
    <row r="41" spans="1:13" x14ac:dyDescent="0.25">
      <c r="A41">
        <v>37</v>
      </c>
      <c r="B41">
        <v>19.809999999999999</v>
      </c>
      <c r="C41">
        <v>23.23</v>
      </c>
      <c r="D41">
        <v>22.33</v>
      </c>
      <c r="E41">
        <v>26.88</v>
      </c>
      <c r="F41">
        <v>22.46</v>
      </c>
      <c r="G41">
        <v>31.83</v>
      </c>
      <c r="H41">
        <v>26.76</v>
      </c>
      <c r="I41">
        <v>31.47</v>
      </c>
      <c r="J41">
        <v>33.44</v>
      </c>
      <c r="K41">
        <v>35.159999999999997</v>
      </c>
      <c r="L41">
        <v>31.71</v>
      </c>
      <c r="M41">
        <v>42.28</v>
      </c>
    </row>
    <row r="42" spans="1:13" x14ac:dyDescent="0.25">
      <c r="A42">
        <v>38</v>
      </c>
      <c r="B42">
        <v>16.559999999999999</v>
      </c>
      <c r="C42">
        <v>22.11</v>
      </c>
      <c r="D42">
        <v>23.02</v>
      </c>
      <c r="E42">
        <v>27.97</v>
      </c>
      <c r="F42">
        <v>25.78</v>
      </c>
      <c r="G42">
        <v>28</v>
      </c>
      <c r="H42">
        <v>27.52</v>
      </c>
      <c r="I42">
        <v>34.06</v>
      </c>
      <c r="J42">
        <v>28.93</v>
      </c>
      <c r="K42">
        <v>34.799999999999997</v>
      </c>
      <c r="L42">
        <v>32.42</v>
      </c>
      <c r="M42">
        <v>38.659999999999997</v>
      </c>
    </row>
    <row r="43" spans="1:13" x14ac:dyDescent="0.25">
      <c r="A43">
        <v>39</v>
      </c>
      <c r="B43">
        <v>17.510000000000002</v>
      </c>
      <c r="C43">
        <v>20.07</v>
      </c>
      <c r="D43">
        <v>24.72</v>
      </c>
      <c r="E43">
        <v>29</v>
      </c>
      <c r="F43">
        <v>24.51</v>
      </c>
      <c r="G43">
        <v>30.98</v>
      </c>
      <c r="H43">
        <v>28.62</v>
      </c>
      <c r="I43">
        <v>33.369999999999997</v>
      </c>
      <c r="J43">
        <v>28.44</v>
      </c>
      <c r="K43">
        <v>37.340000000000003</v>
      </c>
      <c r="L43">
        <v>34.51</v>
      </c>
      <c r="M43">
        <v>41.4</v>
      </c>
    </row>
    <row r="44" spans="1:13" x14ac:dyDescent="0.25">
      <c r="A44">
        <v>40</v>
      </c>
      <c r="B44">
        <v>19.8</v>
      </c>
      <c r="C44">
        <v>20.059999999999999</v>
      </c>
      <c r="D44">
        <v>21.65</v>
      </c>
      <c r="E44">
        <v>28.02</v>
      </c>
      <c r="F44">
        <v>26.78</v>
      </c>
      <c r="G44">
        <v>29.18</v>
      </c>
      <c r="H44">
        <v>27.15</v>
      </c>
      <c r="I44">
        <v>32.15</v>
      </c>
      <c r="J44">
        <v>30.92</v>
      </c>
      <c r="K44">
        <v>38.57</v>
      </c>
      <c r="L44">
        <v>32.130000000000003</v>
      </c>
      <c r="M44">
        <v>41.55</v>
      </c>
    </row>
    <row r="45" spans="1:13" x14ac:dyDescent="0.25">
      <c r="A45">
        <v>41</v>
      </c>
      <c r="B45">
        <v>20.61</v>
      </c>
      <c r="C45">
        <v>21.5</v>
      </c>
      <c r="D45">
        <v>23.84</v>
      </c>
      <c r="E45">
        <v>23.74</v>
      </c>
      <c r="F45">
        <v>24.31</v>
      </c>
      <c r="G45">
        <v>29.43</v>
      </c>
      <c r="H45">
        <v>26.77</v>
      </c>
      <c r="I45">
        <v>31.08</v>
      </c>
      <c r="J45">
        <v>31.58</v>
      </c>
      <c r="K45">
        <v>39.53</v>
      </c>
      <c r="L45">
        <v>34.25</v>
      </c>
      <c r="M45">
        <v>40.049999999999997</v>
      </c>
    </row>
    <row r="46" spans="1:13" x14ac:dyDescent="0.25">
      <c r="A46">
        <v>42</v>
      </c>
      <c r="B46">
        <v>19.760000000000002</v>
      </c>
      <c r="C46">
        <v>24.5</v>
      </c>
      <c r="D46">
        <v>25.46</v>
      </c>
      <c r="E46">
        <v>24.58</v>
      </c>
      <c r="F46">
        <v>25.33</v>
      </c>
      <c r="G46">
        <v>30.51</v>
      </c>
      <c r="H46">
        <v>28.37</v>
      </c>
      <c r="I46">
        <v>34.31</v>
      </c>
      <c r="J46">
        <v>30.95</v>
      </c>
      <c r="K46">
        <v>36.31</v>
      </c>
      <c r="L46">
        <v>31.31</v>
      </c>
      <c r="M46">
        <v>42.56</v>
      </c>
    </row>
    <row r="47" spans="1:13" x14ac:dyDescent="0.25">
      <c r="A47">
        <v>43</v>
      </c>
      <c r="B47">
        <v>19.329999999999998</v>
      </c>
      <c r="C47">
        <v>21.61</v>
      </c>
      <c r="D47">
        <v>21.09</v>
      </c>
      <c r="E47">
        <v>25.56</v>
      </c>
      <c r="F47">
        <v>26.26</v>
      </c>
      <c r="G47">
        <v>27.82</v>
      </c>
      <c r="H47">
        <v>28.37</v>
      </c>
      <c r="I47">
        <v>33.979999999999997</v>
      </c>
      <c r="J47">
        <v>27.9</v>
      </c>
      <c r="K47">
        <v>38.619999999999997</v>
      </c>
      <c r="L47">
        <v>33.79</v>
      </c>
      <c r="M47">
        <v>40.270000000000003</v>
      </c>
    </row>
    <row r="48" spans="1:13" x14ac:dyDescent="0.25">
      <c r="A48">
        <v>44</v>
      </c>
      <c r="B48">
        <v>19.05</v>
      </c>
      <c r="C48">
        <v>19.75</v>
      </c>
      <c r="D48">
        <v>23.78</v>
      </c>
      <c r="E48">
        <v>26.54</v>
      </c>
      <c r="F48">
        <v>26.8</v>
      </c>
      <c r="G48">
        <v>30.07</v>
      </c>
      <c r="H48">
        <v>27.24</v>
      </c>
      <c r="I48">
        <v>32.85</v>
      </c>
      <c r="J48">
        <v>30.87</v>
      </c>
      <c r="K48">
        <v>36.94</v>
      </c>
      <c r="L48">
        <v>35.159999999999997</v>
      </c>
      <c r="M48">
        <v>40.69</v>
      </c>
    </row>
    <row r="49" spans="1:13" x14ac:dyDescent="0.25">
      <c r="A49">
        <v>45</v>
      </c>
      <c r="B49">
        <v>17.28</v>
      </c>
      <c r="C49">
        <v>21.63</v>
      </c>
      <c r="D49">
        <v>23.89</v>
      </c>
      <c r="E49">
        <v>27.28</v>
      </c>
      <c r="F49">
        <v>23.7</v>
      </c>
      <c r="G49">
        <v>29.75</v>
      </c>
      <c r="H49">
        <v>27.29</v>
      </c>
      <c r="I49">
        <v>35.770000000000003</v>
      </c>
      <c r="J49">
        <v>29.04</v>
      </c>
      <c r="K49">
        <v>36.74</v>
      </c>
      <c r="L49">
        <v>29.29</v>
      </c>
      <c r="M49">
        <v>40.24</v>
      </c>
    </row>
    <row r="50" spans="1:13" x14ac:dyDescent="0.25">
      <c r="A50">
        <v>46</v>
      </c>
      <c r="B50">
        <v>18.420000000000002</v>
      </c>
      <c r="C50">
        <v>21.59</v>
      </c>
      <c r="D50">
        <v>24.67</v>
      </c>
      <c r="E50">
        <v>25.41</v>
      </c>
      <c r="F50">
        <v>25</v>
      </c>
      <c r="G50">
        <v>30.24</v>
      </c>
      <c r="H50">
        <v>28.35</v>
      </c>
      <c r="I50">
        <v>31.39</v>
      </c>
      <c r="J50">
        <v>32</v>
      </c>
      <c r="K50">
        <v>38.33</v>
      </c>
      <c r="L50">
        <v>31.8</v>
      </c>
      <c r="M50">
        <v>40.520000000000003</v>
      </c>
    </row>
    <row r="51" spans="1:13" x14ac:dyDescent="0.25">
      <c r="A51">
        <v>47</v>
      </c>
      <c r="B51">
        <v>18.809999999999999</v>
      </c>
      <c r="C51">
        <v>17.95</v>
      </c>
      <c r="D51">
        <v>21.64</v>
      </c>
      <c r="E51">
        <v>26.78</v>
      </c>
      <c r="F51">
        <v>24.79</v>
      </c>
      <c r="G51">
        <v>29.93</v>
      </c>
      <c r="H51">
        <v>25.83</v>
      </c>
      <c r="I51">
        <v>30.71</v>
      </c>
      <c r="J51">
        <v>31.55</v>
      </c>
      <c r="K51">
        <v>37.979999999999997</v>
      </c>
      <c r="L51">
        <v>33.869999999999997</v>
      </c>
      <c r="M51">
        <v>38.86</v>
      </c>
    </row>
    <row r="52" spans="1:13" x14ac:dyDescent="0.25">
      <c r="A52">
        <v>48</v>
      </c>
      <c r="B52">
        <v>21.09</v>
      </c>
      <c r="C52">
        <v>21.92</v>
      </c>
      <c r="D52">
        <v>21.52</v>
      </c>
      <c r="E52">
        <v>25.37</v>
      </c>
      <c r="F52">
        <v>24.52</v>
      </c>
      <c r="G52">
        <v>33.18</v>
      </c>
      <c r="H52">
        <v>25.89</v>
      </c>
      <c r="I52">
        <v>31.96</v>
      </c>
      <c r="J52">
        <v>29.59</v>
      </c>
      <c r="K52">
        <v>34.64</v>
      </c>
      <c r="L52">
        <v>32.700000000000003</v>
      </c>
      <c r="M52">
        <v>38.340000000000003</v>
      </c>
    </row>
    <row r="53" spans="1:13" x14ac:dyDescent="0.25">
      <c r="A53">
        <v>49</v>
      </c>
      <c r="B53">
        <v>20.02</v>
      </c>
      <c r="C53">
        <v>21.65</v>
      </c>
      <c r="D53">
        <v>24.28</v>
      </c>
      <c r="E53">
        <v>25.58</v>
      </c>
      <c r="F53">
        <v>28.15</v>
      </c>
      <c r="G53">
        <v>28.54</v>
      </c>
      <c r="H53">
        <v>26.92</v>
      </c>
      <c r="I53">
        <v>32.93</v>
      </c>
      <c r="J53">
        <v>30.23</v>
      </c>
      <c r="K53">
        <v>39.21</v>
      </c>
      <c r="L53">
        <v>33.56</v>
      </c>
      <c r="M53">
        <v>42.89</v>
      </c>
    </row>
    <row r="54" spans="1:13" x14ac:dyDescent="0.25">
      <c r="A54">
        <v>50</v>
      </c>
      <c r="B54">
        <v>16.86</v>
      </c>
      <c r="C54">
        <v>23.04</v>
      </c>
      <c r="D54">
        <v>23.95</v>
      </c>
      <c r="E54">
        <v>24.39</v>
      </c>
      <c r="F54">
        <v>26.11</v>
      </c>
      <c r="G54">
        <v>28.7</v>
      </c>
      <c r="H54">
        <v>27.68</v>
      </c>
      <c r="I54">
        <v>33.369999999999997</v>
      </c>
      <c r="J54">
        <v>29.41</v>
      </c>
      <c r="K54">
        <v>39.07</v>
      </c>
      <c r="L54">
        <v>32.090000000000003</v>
      </c>
      <c r="M54">
        <v>39.229999999999997</v>
      </c>
    </row>
    <row r="55" spans="1:13" x14ac:dyDescent="0.25">
      <c r="A55">
        <v>51</v>
      </c>
      <c r="B55">
        <v>19.989999999999998</v>
      </c>
      <c r="C55">
        <v>24.77</v>
      </c>
      <c r="D55">
        <v>23.88</v>
      </c>
      <c r="E55">
        <v>25.12</v>
      </c>
      <c r="F55">
        <v>23.61</v>
      </c>
      <c r="G55">
        <v>28.57</v>
      </c>
      <c r="H55">
        <v>28.47</v>
      </c>
      <c r="I55">
        <v>32.64</v>
      </c>
      <c r="J55">
        <v>30.91</v>
      </c>
      <c r="K55">
        <v>36.06</v>
      </c>
      <c r="L55">
        <v>33.130000000000003</v>
      </c>
      <c r="M55">
        <v>39.01</v>
      </c>
    </row>
    <row r="56" spans="1:13" x14ac:dyDescent="0.25">
      <c r="A56">
        <v>52</v>
      </c>
      <c r="B56">
        <v>18.920000000000002</v>
      </c>
      <c r="C56">
        <v>23.69</v>
      </c>
      <c r="D56">
        <v>24.02</v>
      </c>
      <c r="E56">
        <v>24.47</v>
      </c>
      <c r="F56">
        <v>26.88</v>
      </c>
      <c r="G56">
        <v>28.67</v>
      </c>
      <c r="H56">
        <v>30.21</v>
      </c>
      <c r="I56">
        <v>33.53</v>
      </c>
      <c r="J56">
        <v>32.43</v>
      </c>
      <c r="K56">
        <v>37.590000000000003</v>
      </c>
      <c r="L56">
        <v>32.770000000000003</v>
      </c>
      <c r="M56">
        <v>37.270000000000003</v>
      </c>
    </row>
    <row r="57" spans="1:13" x14ac:dyDescent="0.25">
      <c r="A57">
        <v>53</v>
      </c>
      <c r="B57">
        <v>18.48</v>
      </c>
      <c r="C57">
        <v>21.6</v>
      </c>
      <c r="D57">
        <v>22.48</v>
      </c>
      <c r="E57">
        <v>25.04</v>
      </c>
      <c r="F57">
        <v>28.68</v>
      </c>
      <c r="G57">
        <v>28.54</v>
      </c>
      <c r="H57">
        <v>29.29</v>
      </c>
      <c r="I57">
        <v>31.12</v>
      </c>
      <c r="J57">
        <v>29.52</v>
      </c>
      <c r="K57">
        <v>37.74</v>
      </c>
      <c r="L57">
        <v>34.75</v>
      </c>
      <c r="M57">
        <v>39.54</v>
      </c>
    </row>
    <row r="58" spans="1:13" x14ac:dyDescent="0.25">
      <c r="A58">
        <v>54</v>
      </c>
      <c r="B58">
        <v>20.420000000000002</v>
      </c>
      <c r="C58">
        <v>20.34</v>
      </c>
      <c r="D58">
        <v>23.85</v>
      </c>
      <c r="E58">
        <v>28.08</v>
      </c>
      <c r="F58">
        <v>27.05</v>
      </c>
      <c r="G58">
        <v>31.28</v>
      </c>
      <c r="H58">
        <v>27.76</v>
      </c>
      <c r="I58">
        <v>35.17</v>
      </c>
      <c r="J58">
        <v>31.76</v>
      </c>
      <c r="K58">
        <v>37.39</v>
      </c>
      <c r="L58">
        <v>33.380000000000003</v>
      </c>
      <c r="M58">
        <v>38.520000000000003</v>
      </c>
    </row>
    <row r="59" spans="1:13" x14ac:dyDescent="0.25">
      <c r="A59">
        <v>55</v>
      </c>
      <c r="B59">
        <v>21.05</v>
      </c>
      <c r="C59">
        <v>25.86</v>
      </c>
      <c r="D59">
        <v>23.94</v>
      </c>
      <c r="E59">
        <v>25.08</v>
      </c>
      <c r="F59">
        <v>23.22</v>
      </c>
      <c r="G59">
        <v>31.63</v>
      </c>
      <c r="H59">
        <v>27.97</v>
      </c>
      <c r="I59">
        <v>32.880000000000003</v>
      </c>
      <c r="J59">
        <v>30.2</v>
      </c>
      <c r="K59">
        <v>36.17</v>
      </c>
      <c r="L59">
        <v>33.51</v>
      </c>
      <c r="M59">
        <v>42.96</v>
      </c>
    </row>
    <row r="60" spans="1:13" x14ac:dyDescent="0.25">
      <c r="A60">
        <v>56</v>
      </c>
      <c r="B60">
        <v>20.9</v>
      </c>
      <c r="C60">
        <v>22.09</v>
      </c>
      <c r="D60">
        <v>22.43</v>
      </c>
      <c r="E60">
        <v>30.45</v>
      </c>
      <c r="F60">
        <v>24.77</v>
      </c>
      <c r="G60">
        <v>28.64</v>
      </c>
      <c r="H60">
        <v>26.5</v>
      </c>
      <c r="I60">
        <v>34.68</v>
      </c>
      <c r="J60">
        <v>29.81</v>
      </c>
      <c r="K60">
        <v>35.99</v>
      </c>
      <c r="L60">
        <v>32.380000000000003</v>
      </c>
      <c r="M60">
        <v>42.01</v>
      </c>
    </row>
    <row r="61" spans="1:13" x14ac:dyDescent="0.25">
      <c r="A61">
        <v>57</v>
      </c>
      <c r="B61">
        <v>18.239999999999998</v>
      </c>
      <c r="C61">
        <v>22.02</v>
      </c>
      <c r="D61">
        <v>26.3</v>
      </c>
      <c r="E61">
        <v>27.24</v>
      </c>
      <c r="F61">
        <v>27.4</v>
      </c>
      <c r="G61">
        <v>28.25</v>
      </c>
      <c r="H61">
        <v>27.97</v>
      </c>
      <c r="I61">
        <v>33.51</v>
      </c>
      <c r="J61">
        <v>30.84</v>
      </c>
      <c r="K61">
        <v>36.96</v>
      </c>
      <c r="L61">
        <v>32.270000000000003</v>
      </c>
      <c r="M61">
        <v>39.47</v>
      </c>
    </row>
    <row r="62" spans="1:13" x14ac:dyDescent="0.25">
      <c r="A62">
        <v>58</v>
      </c>
      <c r="B62">
        <v>19.04</v>
      </c>
      <c r="C62">
        <v>21.96</v>
      </c>
      <c r="D62">
        <v>24.21</v>
      </c>
      <c r="E62">
        <v>26.78</v>
      </c>
      <c r="F62">
        <v>24.44</v>
      </c>
      <c r="G62">
        <v>30.21</v>
      </c>
      <c r="H62">
        <v>27.57</v>
      </c>
      <c r="I62">
        <v>33.69</v>
      </c>
      <c r="J62">
        <v>29.45</v>
      </c>
      <c r="K62">
        <v>38.76</v>
      </c>
      <c r="L62">
        <v>32.35</v>
      </c>
      <c r="M62">
        <v>43.88</v>
      </c>
    </row>
    <row r="63" spans="1:13" x14ac:dyDescent="0.25">
      <c r="A63">
        <v>59</v>
      </c>
      <c r="B63">
        <v>20</v>
      </c>
      <c r="C63">
        <v>22.3</v>
      </c>
      <c r="D63">
        <v>21.71</v>
      </c>
      <c r="E63">
        <v>25.21</v>
      </c>
      <c r="F63">
        <v>26.17</v>
      </c>
      <c r="G63">
        <v>28.67</v>
      </c>
      <c r="H63">
        <v>28.48</v>
      </c>
      <c r="I63">
        <v>33.85</v>
      </c>
      <c r="J63">
        <v>30.17</v>
      </c>
      <c r="K63">
        <v>37.82</v>
      </c>
      <c r="L63">
        <v>33.590000000000003</v>
      </c>
      <c r="M63">
        <v>41.97</v>
      </c>
    </row>
    <row r="64" spans="1:13" x14ac:dyDescent="0.25">
      <c r="A64">
        <v>60</v>
      </c>
      <c r="B64">
        <v>20.96</v>
      </c>
      <c r="C64">
        <v>21.78</v>
      </c>
      <c r="D64">
        <v>24.48</v>
      </c>
      <c r="E64">
        <v>27.55</v>
      </c>
      <c r="F64">
        <v>26.66</v>
      </c>
      <c r="G64">
        <v>30.45</v>
      </c>
      <c r="H64">
        <v>26.76</v>
      </c>
      <c r="I64">
        <v>33.67</v>
      </c>
      <c r="J64">
        <v>29.2</v>
      </c>
      <c r="K64">
        <v>36.44</v>
      </c>
      <c r="L64">
        <v>32.369999999999997</v>
      </c>
      <c r="M64">
        <v>40.01</v>
      </c>
    </row>
    <row r="65" spans="1:13" x14ac:dyDescent="0.25">
      <c r="A65">
        <v>61</v>
      </c>
      <c r="B65">
        <v>18.78</v>
      </c>
      <c r="C65">
        <v>21.14</v>
      </c>
      <c r="D65">
        <v>22.04</v>
      </c>
      <c r="E65">
        <v>25.64</v>
      </c>
      <c r="F65">
        <v>24.11</v>
      </c>
      <c r="G65">
        <v>29.8</v>
      </c>
      <c r="H65">
        <v>28.78</v>
      </c>
      <c r="I65">
        <v>33.96</v>
      </c>
      <c r="J65">
        <v>33.950000000000003</v>
      </c>
      <c r="K65">
        <v>38.159999999999997</v>
      </c>
      <c r="L65">
        <v>33.43</v>
      </c>
      <c r="M65">
        <v>36.75</v>
      </c>
    </row>
    <row r="66" spans="1:13" x14ac:dyDescent="0.25">
      <c r="A66">
        <v>62</v>
      </c>
      <c r="B66">
        <v>19.22</v>
      </c>
      <c r="C66">
        <v>21.18</v>
      </c>
      <c r="D66">
        <v>24.68</v>
      </c>
      <c r="E66">
        <v>26.68</v>
      </c>
      <c r="F66">
        <v>25.41</v>
      </c>
      <c r="G66">
        <v>27.23</v>
      </c>
      <c r="H66">
        <v>30.3</v>
      </c>
      <c r="I66">
        <v>34.99</v>
      </c>
      <c r="J66">
        <v>31.05</v>
      </c>
      <c r="K66">
        <v>32.729999999999997</v>
      </c>
      <c r="L66">
        <v>36.11</v>
      </c>
      <c r="M66">
        <v>43.94</v>
      </c>
    </row>
    <row r="67" spans="1:13" x14ac:dyDescent="0.25">
      <c r="A67">
        <v>63</v>
      </c>
      <c r="B67">
        <v>17.84</v>
      </c>
      <c r="C67">
        <v>21.95</v>
      </c>
      <c r="D67">
        <v>25.24</v>
      </c>
      <c r="E67">
        <v>30.34</v>
      </c>
      <c r="F67">
        <v>20.64</v>
      </c>
      <c r="G67">
        <v>31.82</v>
      </c>
      <c r="H67">
        <v>27.84</v>
      </c>
      <c r="I67">
        <v>33.29</v>
      </c>
      <c r="J67">
        <v>29.95</v>
      </c>
      <c r="K67">
        <v>38.72</v>
      </c>
      <c r="L67">
        <v>34.31</v>
      </c>
      <c r="M67">
        <v>38.42</v>
      </c>
    </row>
    <row r="68" spans="1:13" x14ac:dyDescent="0.25">
      <c r="A68">
        <v>64</v>
      </c>
      <c r="B68">
        <v>17.71</v>
      </c>
      <c r="C68">
        <v>21.18</v>
      </c>
      <c r="D68">
        <v>22.27</v>
      </c>
      <c r="E68">
        <v>26.36</v>
      </c>
      <c r="F68">
        <v>23.96</v>
      </c>
      <c r="G68">
        <v>32.19</v>
      </c>
      <c r="H68">
        <v>28.6</v>
      </c>
      <c r="I68">
        <v>34.06</v>
      </c>
      <c r="J68">
        <v>31.32</v>
      </c>
      <c r="K68">
        <v>34.39</v>
      </c>
      <c r="L68">
        <v>32.51</v>
      </c>
      <c r="M68">
        <v>38.03</v>
      </c>
    </row>
    <row r="69" spans="1:13" x14ac:dyDescent="0.25">
      <c r="A69">
        <v>65</v>
      </c>
      <c r="B69">
        <v>20.72</v>
      </c>
      <c r="C69">
        <v>20.93</v>
      </c>
      <c r="D69">
        <v>24.95</v>
      </c>
      <c r="E69">
        <v>28.22</v>
      </c>
      <c r="F69">
        <v>25.12</v>
      </c>
      <c r="G69">
        <v>28.58</v>
      </c>
      <c r="H69">
        <v>29.04</v>
      </c>
      <c r="I69">
        <v>32.869999999999997</v>
      </c>
      <c r="J69">
        <v>30.83</v>
      </c>
      <c r="K69">
        <v>36.46</v>
      </c>
      <c r="L69">
        <v>34.799999999999997</v>
      </c>
      <c r="M69">
        <v>42.03</v>
      </c>
    </row>
    <row r="70" spans="1:13" x14ac:dyDescent="0.25">
      <c r="A70">
        <v>66</v>
      </c>
      <c r="B70">
        <v>21.53</v>
      </c>
      <c r="C70">
        <v>22.16</v>
      </c>
      <c r="D70">
        <v>24.12</v>
      </c>
      <c r="E70">
        <v>25.45</v>
      </c>
      <c r="F70">
        <v>23.63</v>
      </c>
      <c r="G70">
        <v>28.92</v>
      </c>
      <c r="H70">
        <v>27.4</v>
      </c>
      <c r="I70">
        <v>35.159999999999997</v>
      </c>
      <c r="J70">
        <v>30.67</v>
      </c>
      <c r="K70">
        <v>35.32</v>
      </c>
      <c r="L70">
        <v>32.39</v>
      </c>
      <c r="M70">
        <v>44.16</v>
      </c>
    </row>
    <row r="71" spans="1:13" x14ac:dyDescent="0.25">
      <c r="A71">
        <v>67</v>
      </c>
      <c r="B71">
        <v>19.39</v>
      </c>
      <c r="C71">
        <v>21.62</v>
      </c>
      <c r="D71">
        <v>24.73</v>
      </c>
      <c r="E71">
        <v>26.45</v>
      </c>
      <c r="F71">
        <v>27.95</v>
      </c>
      <c r="G71">
        <v>29.93</v>
      </c>
      <c r="H71">
        <v>28.34</v>
      </c>
      <c r="I71">
        <v>31.99</v>
      </c>
      <c r="J71">
        <v>31.92</v>
      </c>
      <c r="K71">
        <v>35.06</v>
      </c>
      <c r="L71">
        <v>29.94</v>
      </c>
      <c r="M71">
        <v>42.58</v>
      </c>
    </row>
    <row r="72" spans="1:13" x14ac:dyDescent="0.25">
      <c r="A72">
        <v>68</v>
      </c>
      <c r="B72">
        <v>21.01</v>
      </c>
      <c r="C72">
        <v>24.26</v>
      </c>
      <c r="D72">
        <v>26.35</v>
      </c>
      <c r="E72">
        <v>29.16</v>
      </c>
      <c r="F72">
        <v>23.35</v>
      </c>
      <c r="G72">
        <v>30</v>
      </c>
      <c r="H72">
        <v>28.02</v>
      </c>
      <c r="I72">
        <v>35.700000000000003</v>
      </c>
      <c r="J72">
        <v>32.14</v>
      </c>
      <c r="K72">
        <v>38.74</v>
      </c>
      <c r="L72">
        <v>31.49</v>
      </c>
      <c r="M72">
        <v>41.35</v>
      </c>
    </row>
    <row r="73" spans="1:13" x14ac:dyDescent="0.25">
      <c r="A73">
        <v>69</v>
      </c>
      <c r="B73">
        <v>20.04</v>
      </c>
      <c r="C73">
        <v>18.02</v>
      </c>
      <c r="D73">
        <v>23.13</v>
      </c>
      <c r="E73">
        <v>25.56</v>
      </c>
      <c r="F73">
        <v>24.84</v>
      </c>
      <c r="G73">
        <v>30.49</v>
      </c>
      <c r="H73">
        <v>28.15</v>
      </c>
      <c r="I73">
        <v>32.94</v>
      </c>
      <c r="J73">
        <v>30.2</v>
      </c>
      <c r="K73">
        <v>36.299999999999997</v>
      </c>
      <c r="L73">
        <v>30.19</v>
      </c>
      <c r="M73">
        <v>41.39</v>
      </c>
    </row>
    <row r="74" spans="1:13" x14ac:dyDescent="0.25">
      <c r="A74">
        <v>70</v>
      </c>
      <c r="B74">
        <v>18.53</v>
      </c>
      <c r="C74">
        <v>23.64</v>
      </c>
      <c r="D74">
        <v>22.37</v>
      </c>
      <c r="E74">
        <v>29.22</v>
      </c>
      <c r="F74">
        <v>25.7</v>
      </c>
      <c r="G74">
        <v>32.520000000000003</v>
      </c>
      <c r="H74">
        <v>26.84</v>
      </c>
      <c r="I74">
        <v>30.85</v>
      </c>
      <c r="J74">
        <v>30.14</v>
      </c>
      <c r="K74">
        <v>37.520000000000003</v>
      </c>
      <c r="L74">
        <v>32.47</v>
      </c>
      <c r="M74">
        <v>41.78</v>
      </c>
    </row>
    <row r="75" spans="1:13" x14ac:dyDescent="0.25">
      <c r="A75">
        <v>71</v>
      </c>
      <c r="B75">
        <v>20.04</v>
      </c>
      <c r="C75">
        <v>23.87</v>
      </c>
      <c r="D75">
        <v>22.17</v>
      </c>
      <c r="E75">
        <v>27.56</v>
      </c>
      <c r="F75">
        <v>27.66</v>
      </c>
      <c r="G75">
        <v>29.23</v>
      </c>
      <c r="H75">
        <v>28.04</v>
      </c>
      <c r="I75">
        <v>33.19</v>
      </c>
      <c r="J75">
        <v>30.59</v>
      </c>
      <c r="K75">
        <v>36.93</v>
      </c>
      <c r="L75">
        <v>33.03</v>
      </c>
      <c r="M75">
        <v>41.64</v>
      </c>
    </row>
    <row r="76" spans="1:13" x14ac:dyDescent="0.25">
      <c r="A76">
        <v>72</v>
      </c>
      <c r="B76">
        <v>21.81</v>
      </c>
      <c r="C76">
        <v>18.89</v>
      </c>
      <c r="D76">
        <v>22.28</v>
      </c>
      <c r="E76">
        <v>25.66</v>
      </c>
      <c r="F76">
        <v>23.35</v>
      </c>
      <c r="G76">
        <v>28.3</v>
      </c>
      <c r="H76">
        <v>28.75</v>
      </c>
      <c r="I76">
        <v>31.98</v>
      </c>
      <c r="J76">
        <v>27.55</v>
      </c>
      <c r="K76">
        <v>37.72</v>
      </c>
      <c r="L76">
        <v>35.51</v>
      </c>
      <c r="M76">
        <v>40.92</v>
      </c>
    </row>
    <row r="77" spans="1:13" x14ac:dyDescent="0.25">
      <c r="A77">
        <v>73</v>
      </c>
      <c r="B77">
        <v>19.45</v>
      </c>
      <c r="C77">
        <v>21.49</v>
      </c>
      <c r="D77">
        <v>23.38</v>
      </c>
      <c r="E77">
        <v>27.45</v>
      </c>
      <c r="F77">
        <v>27.24</v>
      </c>
      <c r="G77">
        <v>27.43</v>
      </c>
      <c r="H77">
        <v>30.18</v>
      </c>
      <c r="I77">
        <v>34.26</v>
      </c>
      <c r="J77">
        <v>28.73</v>
      </c>
      <c r="K77">
        <v>37.119999999999997</v>
      </c>
      <c r="L77">
        <v>33.49</v>
      </c>
      <c r="M77">
        <v>40.659999999999997</v>
      </c>
    </row>
    <row r="78" spans="1:13" x14ac:dyDescent="0.25">
      <c r="A78">
        <v>74</v>
      </c>
      <c r="B78">
        <v>21.85</v>
      </c>
      <c r="C78">
        <v>21.44</v>
      </c>
      <c r="D78">
        <v>24.01</v>
      </c>
      <c r="E78">
        <v>27.96</v>
      </c>
      <c r="F78">
        <v>25.52</v>
      </c>
      <c r="G78">
        <v>28.4</v>
      </c>
      <c r="H78">
        <v>29.44</v>
      </c>
      <c r="I78">
        <v>32.020000000000003</v>
      </c>
      <c r="J78">
        <v>33.049999999999997</v>
      </c>
      <c r="K78">
        <v>35.08</v>
      </c>
      <c r="L78">
        <v>32.67</v>
      </c>
      <c r="M78">
        <v>40.409999999999997</v>
      </c>
    </row>
    <row r="79" spans="1:13" x14ac:dyDescent="0.25">
      <c r="A79">
        <v>75</v>
      </c>
      <c r="B79">
        <v>15.57</v>
      </c>
      <c r="C79">
        <v>19.89</v>
      </c>
      <c r="D79">
        <v>23.92</v>
      </c>
      <c r="E79">
        <v>27.43</v>
      </c>
      <c r="F79">
        <v>24.03</v>
      </c>
      <c r="G79">
        <v>29.45</v>
      </c>
      <c r="H79">
        <v>31.23</v>
      </c>
      <c r="I79">
        <v>32.33</v>
      </c>
      <c r="J79">
        <v>33.47</v>
      </c>
      <c r="K79">
        <v>38.49</v>
      </c>
      <c r="L79">
        <v>34.24</v>
      </c>
      <c r="M79">
        <v>39.369999999999997</v>
      </c>
    </row>
    <row r="80" spans="1:13" x14ac:dyDescent="0.25">
      <c r="A80">
        <v>76</v>
      </c>
      <c r="B80">
        <v>20.73</v>
      </c>
      <c r="C80">
        <v>20.83</v>
      </c>
      <c r="D80">
        <v>24.74</v>
      </c>
      <c r="E80">
        <v>24.14</v>
      </c>
      <c r="F80">
        <v>26.19</v>
      </c>
      <c r="G80">
        <v>32.19</v>
      </c>
      <c r="H80">
        <v>26.85</v>
      </c>
      <c r="I80">
        <v>30.17</v>
      </c>
      <c r="J80">
        <v>30.63</v>
      </c>
      <c r="K80">
        <v>36.26</v>
      </c>
      <c r="L80">
        <v>29.68</v>
      </c>
      <c r="M80">
        <v>40.08</v>
      </c>
    </row>
    <row r="81" spans="1:13" x14ac:dyDescent="0.25">
      <c r="A81">
        <v>77</v>
      </c>
      <c r="B81">
        <v>19.63</v>
      </c>
      <c r="C81">
        <v>20.329999999999998</v>
      </c>
      <c r="D81">
        <v>23.52</v>
      </c>
      <c r="E81">
        <v>25.41</v>
      </c>
      <c r="F81">
        <v>25.8</v>
      </c>
      <c r="G81">
        <v>28.72</v>
      </c>
      <c r="H81">
        <v>29.31</v>
      </c>
      <c r="I81">
        <v>32.32</v>
      </c>
      <c r="J81">
        <v>31.86</v>
      </c>
      <c r="K81">
        <v>34.67</v>
      </c>
      <c r="L81">
        <v>33.35</v>
      </c>
      <c r="M81">
        <v>37.96</v>
      </c>
    </row>
    <row r="82" spans="1:13" x14ac:dyDescent="0.25">
      <c r="A82">
        <v>78</v>
      </c>
      <c r="B82">
        <v>19.05</v>
      </c>
      <c r="C82">
        <v>24.63</v>
      </c>
      <c r="D82">
        <v>25.68</v>
      </c>
      <c r="E82">
        <v>26.13</v>
      </c>
      <c r="F82">
        <v>24.6</v>
      </c>
      <c r="G82">
        <v>29.84</v>
      </c>
      <c r="H82">
        <v>28.28</v>
      </c>
      <c r="I82">
        <v>29.36</v>
      </c>
      <c r="J82">
        <v>31.47</v>
      </c>
      <c r="K82">
        <v>36.36</v>
      </c>
      <c r="L82">
        <v>34.159999999999997</v>
      </c>
      <c r="M82">
        <v>40.35</v>
      </c>
    </row>
    <row r="83" spans="1:13" x14ac:dyDescent="0.25">
      <c r="A83">
        <v>79</v>
      </c>
      <c r="B83">
        <v>19.64</v>
      </c>
      <c r="C83">
        <v>23.4</v>
      </c>
      <c r="D83">
        <v>23.1</v>
      </c>
      <c r="E83">
        <v>26.39</v>
      </c>
      <c r="F83">
        <v>25.6</v>
      </c>
      <c r="G83">
        <v>29.48</v>
      </c>
      <c r="H83">
        <v>31.28</v>
      </c>
      <c r="I83">
        <v>30.62</v>
      </c>
      <c r="J83">
        <v>35.619999999999997</v>
      </c>
      <c r="K83">
        <v>39.25</v>
      </c>
      <c r="L83">
        <v>30.78</v>
      </c>
      <c r="M83">
        <v>39.020000000000003</v>
      </c>
    </row>
    <row r="84" spans="1:13" x14ac:dyDescent="0.25">
      <c r="A84">
        <v>80</v>
      </c>
      <c r="B84">
        <v>16.52</v>
      </c>
      <c r="C84">
        <v>23.91</v>
      </c>
      <c r="D84">
        <v>27.58</v>
      </c>
      <c r="E84">
        <v>27.43</v>
      </c>
      <c r="F84">
        <v>24.92</v>
      </c>
      <c r="G84">
        <v>31.28</v>
      </c>
      <c r="H84">
        <v>26.79</v>
      </c>
      <c r="I84">
        <v>34.14</v>
      </c>
      <c r="J84">
        <v>32.68</v>
      </c>
      <c r="K84">
        <v>38.28</v>
      </c>
      <c r="L84">
        <v>34.72</v>
      </c>
      <c r="M84">
        <v>38.840000000000003</v>
      </c>
    </row>
    <row r="85" spans="1:13" x14ac:dyDescent="0.25">
      <c r="A85">
        <v>81</v>
      </c>
      <c r="B85">
        <v>19.170000000000002</v>
      </c>
      <c r="C85">
        <v>23.08</v>
      </c>
      <c r="D85">
        <v>24.44</v>
      </c>
      <c r="E85">
        <v>26.77</v>
      </c>
      <c r="F85">
        <v>25.67</v>
      </c>
      <c r="G85">
        <v>33.29</v>
      </c>
      <c r="H85">
        <v>26.74</v>
      </c>
      <c r="I85">
        <v>34.18</v>
      </c>
      <c r="J85">
        <v>30.81</v>
      </c>
      <c r="K85">
        <v>36.479999999999997</v>
      </c>
      <c r="L85">
        <v>33.51</v>
      </c>
      <c r="M85">
        <v>40.770000000000003</v>
      </c>
    </row>
    <row r="86" spans="1:13" x14ac:dyDescent="0.25">
      <c r="A86">
        <v>82</v>
      </c>
      <c r="B86">
        <v>20.04</v>
      </c>
      <c r="C86">
        <v>20.309999999999999</v>
      </c>
      <c r="D86">
        <v>22.21</v>
      </c>
      <c r="E86">
        <v>24.5</v>
      </c>
      <c r="F86">
        <v>26.49</v>
      </c>
      <c r="G86">
        <v>28.7</v>
      </c>
      <c r="H86">
        <v>27.1</v>
      </c>
      <c r="I86">
        <v>33.64</v>
      </c>
      <c r="J86">
        <v>29.57</v>
      </c>
      <c r="K86">
        <v>36.479999999999997</v>
      </c>
      <c r="L86">
        <v>32.380000000000003</v>
      </c>
      <c r="M86">
        <v>42.59</v>
      </c>
    </row>
    <row r="87" spans="1:13" x14ac:dyDescent="0.25">
      <c r="A87">
        <v>83</v>
      </c>
      <c r="B87">
        <v>21.72</v>
      </c>
      <c r="C87">
        <v>21.21</v>
      </c>
      <c r="D87">
        <v>21.89</v>
      </c>
      <c r="E87">
        <v>27.07</v>
      </c>
      <c r="F87">
        <v>27.88</v>
      </c>
      <c r="G87">
        <v>28.77</v>
      </c>
      <c r="H87">
        <v>24.81</v>
      </c>
      <c r="I87">
        <v>31.55</v>
      </c>
      <c r="J87">
        <v>28.59</v>
      </c>
      <c r="K87">
        <v>36.520000000000003</v>
      </c>
      <c r="L87">
        <v>33.950000000000003</v>
      </c>
      <c r="M87">
        <v>41.88</v>
      </c>
    </row>
    <row r="88" spans="1:13" x14ac:dyDescent="0.25">
      <c r="A88">
        <v>84</v>
      </c>
      <c r="B88">
        <v>18.72</v>
      </c>
      <c r="C88">
        <v>22.73</v>
      </c>
      <c r="D88">
        <v>24.22</v>
      </c>
      <c r="E88">
        <v>27.42</v>
      </c>
      <c r="F88">
        <v>23.64</v>
      </c>
      <c r="G88">
        <v>31.07</v>
      </c>
      <c r="H88">
        <v>27.21</v>
      </c>
      <c r="I88">
        <v>32.93</v>
      </c>
      <c r="J88">
        <v>31.31</v>
      </c>
      <c r="K88">
        <v>40.119999999999997</v>
      </c>
      <c r="L88">
        <v>36.409999999999997</v>
      </c>
      <c r="M88">
        <v>38.14</v>
      </c>
    </row>
    <row r="89" spans="1:13" x14ac:dyDescent="0.25">
      <c r="A89">
        <v>85</v>
      </c>
      <c r="B89">
        <v>18.29</v>
      </c>
      <c r="C89">
        <v>20.170000000000002</v>
      </c>
      <c r="D89">
        <v>23.16</v>
      </c>
      <c r="E89">
        <v>27.34</v>
      </c>
      <c r="F89">
        <v>28.7</v>
      </c>
      <c r="G89">
        <v>30.52</v>
      </c>
      <c r="H89">
        <v>26.86</v>
      </c>
      <c r="I89">
        <v>32.99</v>
      </c>
      <c r="J89">
        <v>29.87</v>
      </c>
      <c r="K89">
        <v>37.57</v>
      </c>
      <c r="L89">
        <v>33.270000000000003</v>
      </c>
      <c r="M89">
        <v>39.020000000000003</v>
      </c>
    </row>
    <row r="90" spans="1:13" x14ac:dyDescent="0.25">
      <c r="A90">
        <v>86</v>
      </c>
      <c r="B90">
        <v>18.75</v>
      </c>
      <c r="C90">
        <v>23.07</v>
      </c>
      <c r="D90">
        <v>24.57</v>
      </c>
      <c r="E90">
        <v>28.12</v>
      </c>
      <c r="F90">
        <v>22.57</v>
      </c>
      <c r="G90">
        <v>32.270000000000003</v>
      </c>
      <c r="H90">
        <v>28.23</v>
      </c>
      <c r="I90">
        <v>31.26</v>
      </c>
      <c r="J90">
        <v>28.87</v>
      </c>
      <c r="K90">
        <v>37.65</v>
      </c>
      <c r="L90">
        <v>33.369999999999997</v>
      </c>
      <c r="M90">
        <v>41.91</v>
      </c>
    </row>
    <row r="91" spans="1:13" x14ac:dyDescent="0.25">
      <c r="A91">
        <v>87</v>
      </c>
      <c r="B91">
        <v>20.87</v>
      </c>
      <c r="C91">
        <v>21.64</v>
      </c>
      <c r="D91">
        <v>24.21</v>
      </c>
      <c r="E91">
        <v>27.75</v>
      </c>
      <c r="F91">
        <v>25.27</v>
      </c>
      <c r="G91">
        <v>30.38</v>
      </c>
      <c r="H91">
        <v>28.51</v>
      </c>
      <c r="I91">
        <v>35.26</v>
      </c>
      <c r="J91">
        <v>30.03</v>
      </c>
      <c r="K91">
        <v>38.549999999999997</v>
      </c>
      <c r="L91">
        <v>32.31</v>
      </c>
      <c r="M91">
        <v>39.03</v>
      </c>
    </row>
    <row r="92" spans="1:13" x14ac:dyDescent="0.25">
      <c r="A92">
        <v>88</v>
      </c>
      <c r="B92">
        <v>19.989999999999998</v>
      </c>
      <c r="C92">
        <v>21.44</v>
      </c>
      <c r="D92">
        <v>23.39</v>
      </c>
      <c r="E92">
        <v>27.19</v>
      </c>
      <c r="F92">
        <v>26.38</v>
      </c>
      <c r="G92">
        <v>28.96</v>
      </c>
      <c r="H92">
        <v>30.81</v>
      </c>
      <c r="I92">
        <v>34.32</v>
      </c>
      <c r="J92">
        <v>29.38</v>
      </c>
      <c r="K92">
        <v>37.36</v>
      </c>
      <c r="L92">
        <v>31.73</v>
      </c>
      <c r="M92">
        <v>40.159999999999997</v>
      </c>
    </row>
    <row r="93" spans="1:13" x14ac:dyDescent="0.25">
      <c r="A93">
        <v>89</v>
      </c>
      <c r="B93">
        <v>18.71</v>
      </c>
      <c r="C93">
        <v>23.07</v>
      </c>
      <c r="D93">
        <v>22.23</v>
      </c>
      <c r="E93">
        <v>26.39</v>
      </c>
      <c r="F93">
        <v>25.92</v>
      </c>
      <c r="G93">
        <v>30.39</v>
      </c>
      <c r="H93">
        <v>29.43</v>
      </c>
      <c r="I93">
        <v>32.67</v>
      </c>
      <c r="J93">
        <v>33.53</v>
      </c>
      <c r="K93">
        <v>36.61</v>
      </c>
      <c r="L93">
        <v>34.25</v>
      </c>
      <c r="M93">
        <v>41.33</v>
      </c>
    </row>
    <row r="94" spans="1:13" x14ac:dyDescent="0.25">
      <c r="A94">
        <v>90</v>
      </c>
      <c r="B94">
        <v>20.27</v>
      </c>
      <c r="C94">
        <v>22.67</v>
      </c>
      <c r="D94">
        <v>21.23</v>
      </c>
      <c r="E94">
        <v>24.01</v>
      </c>
      <c r="F94">
        <v>24.57</v>
      </c>
      <c r="G94">
        <v>31.16</v>
      </c>
      <c r="H94">
        <v>27.13</v>
      </c>
      <c r="I94">
        <v>33.04</v>
      </c>
      <c r="J94">
        <v>32.32</v>
      </c>
      <c r="K94">
        <v>36.71</v>
      </c>
      <c r="L94">
        <v>31.72</v>
      </c>
      <c r="M94">
        <v>39.049999999999997</v>
      </c>
    </row>
    <row r="95" spans="1:13" x14ac:dyDescent="0.25">
      <c r="A95">
        <v>91</v>
      </c>
      <c r="B95">
        <v>19.649999999999999</v>
      </c>
      <c r="C95">
        <v>21.46</v>
      </c>
      <c r="D95">
        <v>22.83</v>
      </c>
      <c r="E95">
        <v>27.14</v>
      </c>
      <c r="F95">
        <v>25.19</v>
      </c>
      <c r="G95">
        <v>30.73</v>
      </c>
      <c r="H95">
        <v>26.65</v>
      </c>
      <c r="I95">
        <v>33.31</v>
      </c>
      <c r="J95">
        <v>30.99</v>
      </c>
      <c r="K95">
        <v>36.89</v>
      </c>
      <c r="L95">
        <v>33.11</v>
      </c>
      <c r="M95">
        <v>40.659999999999997</v>
      </c>
    </row>
    <row r="96" spans="1:13" x14ac:dyDescent="0.25">
      <c r="A96">
        <v>92</v>
      </c>
      <c r="B96">
        <v>20.95</v>
      </c>
      <c r="C96">
        <v>23.74</v>
      </c>
      <c r="D96">
        <v>24.78</v>
      </c>
      <c r="E96">
        <v>26.81</v>
      </c>
      <c r="F96">
        <v>24.76</v>
      </c>
      <c r="G96">
        <v>30.26</v>
      </c>
      <c r="H96">
        <v>28.74</v>
      </c>
      <c r="I96">
        <v>29.94</v>
      </c>
      <c r="J96">
        <v>33.22</v>
      </c>
      <c r="K96">
        <v>36.94</v>
      </c>
      <c r="L96">
        <v>32.28</v>
      </c>
      <c r="M96">
        <v>38.5</v>
      </c>
    </row>
    <row r="97" spans="1:13" x14ac:dyDescent="0.25">
      <c r="A97">
        <v>93</v>
      </c>
      <c r="B97">
        <v>18.45</v>
      </c>
      <c r="C97">
        <v>20.38</v>
      </c>
      <c r="D97">
        <v>23.82</v>
      </c>
      <c r="E97">
        <v>26.91</v>
      </c>
      <c r="F97">
        <v>24.62</v>
      </c>
      <c r="G97">
        <v>31.1</v>
      </c>
      <c r="H97">
        <v>26.02</v>
      </c>
      <c r="I97">
        <v>32.630000000000003</v>
      </c>
      <c r="J97">
        <v>31.12</v>
      </c>
      <c r="K97">
        <v>38.090000000000003</v>
      </c>
      <c r="L97">
        <v>33.72</v>
      </c>
      <c r="M97">
        <v>39.6</v>
      </c>
    </row>
    <row r="98" spans="1:13" x14ac:dyDescent="0.25">
      <c r="A98">
        <v>94</v>
      </c>
      <c r="B98">
        <v>19.010000000000002</v>
      </c>
      <c r="C98">
        <v>22.92</v>
      </c>
      <c r="D98">
        <v>21.63</v>
      </c>
      <c r="E98">
        <v>24.58</v>
      </c>
      <c r="F98">
        <v>26.77</v>
      </c>
      <c r="G98">
        <v>31.25</v>
      </c>
      <c r="H98">
        <v>30.75</v>
      </c>
      <c r="I98">
        <v>31.98</v>
      </c>
      <c r="J98">
        <v>29.71</v>
      </c>
      <c r="K98">
        <v>37.08</v>
      </c>
      <c r="L98">
        <v>33.5</v>
      </c>
      <c r="M98">
        <v>40.98</v>
      </c>
    </row>
    <row r="99" spans="1:13" x14ac:dyDescent="0.25">
      <c r="A99">
        <v>95</v>
      </c>
      <c r="B99">
        <v>18.91</v>
      </c>
      <c r="C99">
        <v>22.89</v>
      </c>
      <c r="D99">
        <v>23.76</v>
      </c>
      <c r="E99">
        <v>24.88</v>
      </c>
      <c r="F99">
        <v>26.04</v>
      </c>
      <c r="G99">
        <v>31.57</v>
      </c>
      <c r="H99">
        <v>29.77</v>
      </c>
      <c r="I99">
        <v>31.5</v>
      </c>
      <c r="J99">
        <v>33.28</v>
      </c>
      <c r="K99">
        <v>38.1</v>
      </c>
      <c r="L99">
        <v>34.56</v>
      </c>
      <c r="M99">
        <v>38.11</v>
      </c>
    </row>
    <row r="100" spans="1:13" x14ac:dyDescent="0.25">
      <c r="A100">
        <v>96</v>
      </c>
      <c r="B100">
        <v>17.3</v>
      </c>
      <c r="C100">
        <v>21.54</v>
      </c>
      <c r="D100">
        <v>24.08</v>
      </c>
      <c r="E100">
        <v>28.08</v>
      </c>
      <c r="F100">
        <v>24.46</v>
      </c>
      <c r="G100">
        <v>30.47</v>
      </c>
      <c r="H100">
        <v>27.3</v>
      </c>
      <c r="I100">
        <v>32.58</v>
      </c>
      <c r="J100">
        <v>31.81</v>
      </c>
      <c r="K100">
        <v>36.880000000000003</v>
      </c>
      <c r="L100">
        <v>32.229999999999997</v>
      </c>
      <c r="M100">
        <v>41.16</v>
      </c>
    </row>
    <row r="101" spans="1:13" x14ac:dyDescent="0.25">
      <c r="A101">
        <v>97</v>
      </c>
      <c r="B101">
        <v>19.940000000000001</v>
      </c>
      <c r="C101">
        <v>22.49</v>
      </c>
      <c r="D101">
        <v>22.17</v>
      </c>
      <c r="E101">
        <v>26.44</v>
      </c>
      <c r="F101">
        <v>26.85</v>
      </c>
      <c r="G101">
        <v>29.25</v>
      </c>
      <c r="H101">
        <v>25.43</v>
      </c>
      <c r="I101">
        <v>35.700000000000003</v>
      </c>
      <c r="J101">
        <v>29.44</v>
      </c>
      <c r="K101">
        <v>37.119999999999997</v>
      </c>
      <c r="L101">
        <v>32.6</v>
      </c>
      <c r="M101">
        <v>40.47</v>
      </c>
    </row>
    <row r="102" spans="1:13" x14ac:dyDescent="0.25">
      <c r="A102">
        <v>98</v>
      </c>
      <c r="B102">
        <v>19.89</v>
      </c>
      <c r="C102">
        <v>20.12</v>
      </c>
      <c r="D102">
        <v>23.73</v>
      </c>
      <c r="E102">
        <v>27.52</v>
      </c>
      <c r="F102">
        <v>25.96</v>
      </c>
      <c r="G102">
        <v>29.72</v>
      </c>
      <c r="H102">
        <v>30.03</v>
      </c>
      <c r="I102">
        <v>33.96</v>
      </c>
      <c r="J102">
        <v>30.71</v>
      </c>
      <c r="K102">
        <v>34</v>
      </c>
      <c r="L102">
        <v>31.53</v>
      </c>
      <c r="M102">
        <v>41.33</v>
      </c>
    </row>
    <row r="103" spans="1:13" x14ac:dyDescent="0.25">
      <c r="A103">
        <v>99</v>
      </c>
      <c r="B103">
        <v>19.510000000000002</v>
      </c>
      <c r="C103">
        <v>23.39</v>
      </c>
      <c r="D103">
        <v>23.59</v>
      </c>
      <c r="E103">
        <v>26.54</v>
      </c>
      <c r="F103">
        <v>26.72</v>
      </c>
      <c r="G103">
        <v>31.31</v>
      </c>
      <c r="H103">
        <v>27.83</v>
      </c>
      <c r="I103">
        <v>32.14</v>
      </c>
      <c r="J103">
        <v>29.69</v>
      </c>
      <c r="K103">
        <v>38.369999999999997</v>
      </c>
      <c r="L103">
        <v>32.33</v>
      </c>
      <c r="M103">
        <v>40.840000000000003</v>
      </c>
    </row>
    <row r="104" spans="1:13" x14ac:dyDescent="0.25">
      <c r="A104">
        <v>100</v>
      </c>
      <c r="B104">
        <v>19.149999999999999</v>
      </c>
      <c r="C104">
        <v>21.72</v>
      </c>
      <c r="D104">
        <v>21.79</v>
      </c>
      <c r="E104">
        <v>26.54</v>
      </c>
      <c r="F104">
        <v>26.44</v>
      </c>
      <c r="G104">
        <v>28.27</v>
      </c>
      <c r="H104">
        <v>29.86</v>
      </c>
      <c r="I104">
        <v>33.86</v>
      </c>
      <c r="J104">
        <v>28.93</v>
      </c>
      <c r="K104">
        <v>37.520000000000003</v>
      </c>
      <c r="L104">
        <v>33.57</v>
      </c>
      <c r="M104">
        <v>42.55</v>
      </c>
    </row>
    <row r="105" spans="1:13" x14ac:dyDescent="0.25">
      <c r="B105">
        <f>SUM(B5:B104)</f>
        <v>1934.4400000000003</v>
      </c>
      <c r="C105">
        <f t="shared" ref="C105:M105" si="0">SUM(C5:C104)</f>
        <v>2203.5899999999997</v>
      </c>
      <c r="D105">
        <f t="shared" si="0"/>
        <v>2353.3500000000013</v>
      </c>
      <c r="E105">
        <f t="shared" si="0"/>
        <v>2649.05</v>
      </c>
      <c r="F105">
        <f t="shared" si="0"/>
        <v>2559.71</v>
      </c>
      <c r="G105">
        <f t="shared" si="0"/>
        <v>2984.2600000000007</v>
      </c>
      <c r="H105">
        <f t="shared" si="0"/>
        <v>2816.0699999999997</v>
      </c>
      <c r="I105">
        <f t="shared" si="0"/>
        <v>3304.1899999999996</v>
      </c>
      <c r="J105">
        <f t="shared" si="0"/>
        <v>3091.64</v>
      </c>
      <c r="K105">
        <f t="shared" si="0"/>
        <v>3724.06</v>
      </c>
      <c r="L105">
        <f t="shared" si="0"/>
        <v>3282.6699999999996</v>
      </c>
      <c r="M105">
        <f t="shared" si="0"/>
        <v>4066.0800000000004</v>
      </c>
    </row>
    <row r="106" spans="1:13" x14ac:dyDescent="0.25">
      <c r="B106" s="3">
        <f>B105/100</f>
        <v>19.344400000000004</v>
      </c>
      <c r="C106" s="3">
        <f t="shared" ref="C106:M106" si="1">C105/100</f>
        <v>22.035899999999998</v>
      </c>
      <c r="D106" s="3">
        <f t="shared" si="1"/>
        <v>23.533500000000014</v>
      </c>
      <c r="E106" s="3">
        <f t="shared" si="1"/>
        <v>26.490500000000001</v>
      </c>
      <c r="F106" s="3">
        <f t="shared" si="1"/>
        <v>25.597100000000001</v>
      </c>
      <c r="G106" s="3">
        <f t="shared" si="1"/>
        <v>29.842600000000008</v>
      </c>
      <c r="H106" s="3">
        <f t="shared" si="1"/>
        <v>28.160699999999999</v>
      </c>
      <c r="I106" s="3">
        <f t="shared" si="1"/>
        <v>33.041899999999998</v>
      </c>
      <c r="J106" s="3">
        <f t="shared" si="1"/>
        <v>30.916399999999999</v>
      </c>
      <c r="K106" s="3">
        <f t="shared" si="1"/>
        <v>37.240600000000001</v>
      </c>
      <c r="L106" s="3">
        <f t="shared" si="1"/>
        <v>32.826699999999995</v>
      </c>
      <c r="M106" s="3">
        <f t="shared" si="1"/>
        <v>40.660800000000002</v>
      </c>
    </row>
    <row r="109" spans="1:13" ht="30" x14ac:dyDescent="0.25">
      <c r="A109" s="7" t="s">
        <v>11</v>
      </c>
      <c r="B109" s="4" t="s">
        <v>26</v>
      </c>
      <c r="C109" s="4" t="s">
        <v>12</v>
      </c>
    </row>
    <row r="110" spans="1:13" x14ac:dyDescent="0.25">
      <c r="A110" s="5">
        <v>7</v>
      </c>
      <c r="B110" s="6">
        <v>19.344400000000004</v>
      </c>
      <c r="C110" s="6">
        <v>22.035899999999998</v>
      </c>
    </row>
    <row r="111" spans="1:13" x14ac:dyDescent="0.25">
      <c r="A111" s="5">
        <v>14</v>
      </c>
      <c r="B111" s="6">
        <v>23.533500000000014</v>
      </c>
      <c r="C111" s="6">
        <v>26.490500000000001</v>
      </c>
    </row>
    <row r="112" spans="1:13" x14ac:dyDescent="0.25">
      <c r="A112" s="5">
        <v>21</v>
      </c>
      <c r="B112" s="6">
        <v>25.597100000000001</v>
      </c>
      <c r="C112" s="6">
        <v>29.842600000000008</v>
      </c>
    </row>
    <row r="113" spans="1:3" x14ac:dyDescent="0.25">
      <c r="A113" s="5">
        <v>28</v>
      </c>
      <c r="B113" s="6">
        <v>28.160699999999999</v>
      </c>
      <c r="C113" s="6">
        <v>33.041899999999998</v>
      </c>
    </row>
    <row r="114" spans="1:3" x14ac:dyDescent="0.25">
      <c r="A114" s="5">
        <v>56</v>
      </c>
      <c r="B114" s="6">
        <v>30.916399999999999</v>
      </c>
      <c r="C114" s="6">
        <v>37.240600000000001</v>
      </c>
    </row>
    <row r="115" spans="1:3" x14ac:dyDescent="0.25">
      <c r="A115" s="5">
        <v>90</v>
      </c>
      <c r="B115" s="6">
        <v>32.826699999999995</v>
      </c>
      <c r="C115" s="6">
        <v>40.660800000000002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0"/>
  <sheetViews>
    <sheetView topLeftCell="C13" zoomScaleNormal="100" workbookViewId="0">
      <selection activeCell="S31" sqref="S31"/>
    </sheetView>
  </sheetViews>
  <sheetFormatPr defaultRowHeight="15" x14ac:dyDescent="0.25"/>
  <cols>
    <col min="3" max="3" width="9" bestFit="1" customWidth="1"/>
    <col min="4" max="4" width="9.7109375" bestFit="1" customWidth="1"/>
  </cols>
  <sheetData>
    <row r="4" spans="1:22" ht="49.5" customHeight="1" x14ac:dyDescent="0.25">
      <c r="A4">
        <v>3</v>
      </c>
      <c r="B4" s="44" t="s">
        <v>11</v>
      </c>
      <c r="C4" s="45" t="s">
        <v>46</v>
      </c>
      <c r="D4" s="45" t="s">
        <v>47</v>
      </c>
      <c r="F4" s="44" t="s">
        <v>11</v>
      </c>
      <c r="G4" s="45" t="s">
        <v>46</v>
      </c>
      <c r="H4" s="45" t="s">
        <v>47</v>
      </c>
      <c r="J4" s="44" t="s">
        <v>11</v>
      </c>
      <c r="K4" s="45" t="s">
        <v>46</v>
      </c>
      <c r="L4" s="45" t="s">
        <v>47</v>
      </c>
    </row>
    <row r="5" spans="1:22" ht="15.75" x14ac:dyDescent="0.25">
      <c r="B5" s="30">
        <v>7</v>
      </c>
      <c r="C5" s="31">
        <v>15.056000000000001</v>
      </c>
      <c r="D5" s="19">
        <v>17.158000000000005</v>
      </c>
      <c r="F5" s="5">
        <v>7</v>
      </c>
      <c r="G5" s="6">
        <v>2.2119999999999989</v>
      </c>
      <c r="H5" s="5">
        <v>2.5</v>
      </c>
      <c r="J5" s="5">
        <v>7</v>
      </c>
      <c r="K5" s="6">
        <v>2.8451000000000009</v>
      </c>
      <c r="L5" s="6">
        <v>3.1724999999999994</v>
      </c>
      <c r="N5" s="6">
        <v>2.8451000000000009</v>
      </c>
      <c r="O5" s="6">
        <v>3.1724999999999994</v>
      </c>
      <c r="Q5" s="3">
        <f>N5-K14</f>
        <v>0.8379000000000012</v>
      </c>
      <c r="R5" s="3">
        <f>Q5*1.5</f>
        <v>1.2568500000000018</v>
      </c>
      <c r="S5" s="3">
        <f>R5+K14</f>
        <v>3.2640500000000015</v>
      </c>
      <c r="T5" s="26">
        <v>3</v>
      </c>
      <c r="U5" s="18">
        <f>S5-T5</f>
        <v>0.26405000000000145</v>
      </c>
      <c r="V5" s="27">
        <f>L5+U5</f>
        <v>3.4365500000000009</v>
      </c>
    </row>
    <row r="6" spans="1:22" ht="15.75" x14ac:dyDescent="0.25">
      <c r="B6" s="30">
        <v>14</v>
      </c>
      <c r="C6" s="31">
        <v>19.039000000000001</v>
      </c>
      <c r="D6" s="19">
        <v>20.700799999999987</v>
      </c>
      <c r="F6" s="5">
        <v>14</v>
      </c>
      <c r="G6" s="5">
        <v>2.5</v>
      </c>
      <c r="H6" s="5">
        <v>2.8000000000000016</v>
      </c>
      <c r="J6" s="5">
        <v>14</v>
      </c>
      <c r="K6" s="6">
        <v>3.1483000000000003</v>
      </c>
      <c r="L6" s="6">
        <v>3.4953999999999992</v>
      </c>
      <c r="N6" s="6">
        <v>3.1483000000000003</v>
      </c>
      <c r="O6" s="6">
        <v>3.4953999999999992</v>
      </c>
      <c r="Q6" s="3">
        <f t="shared" ref="Q6:Q10" si="0">N6-K15</f>
        <v>0.74570000000000114</v>
      </c>
      <c r="R6" s="3">
        <f t="shared" ref="R6:R10" si="1">Q6*1.5</f>
        <v>1.1185500000000017</v>
      </c>
      <c r="S6" s="3">
        <f t="shared" ref="S6:S10" si="2">R6+K15</f>
        <v>3.5211500000000009</v>
      </c>
      <c r="T6" s="26">
        <v>3.52</v>
      </c>
      <c r="U6" s="18">
        <f t="shared" ref="U6:U10" si="3">S6-T6</f>
        <v>1.1500000000008725E-3</v>
      </c>
      <c r="V6" s="27">
        <f t="shared" ref="V6:V10" si="4">L6+U6</f>
        <v>3.49655</v>
      </c>
    </row>
    <row r="7" spans="1:22" ht="15.75" x14ac:dyDescent="0.25">
      <c r="B7" s="30">
        <v>21</v>
      </c>
      <c r="C7" s="31">
        <v>22.083999999999993</v>
      </c>
      <c r="D7" s="19">
        <v>23.201699999999995</v>
      </c>
      <c r="F7" s="5">
        <v>21</v>
      </c>
      <c r="G7" s="5">
        <v>2.599999999999997</v>
      </c>
      <c r="H7" s="5">
        <v>3</v>
      </c>
      <c r="J7" s="5">
        <v>21</v>
      </c>
      <c r="K7" s="6">
        <v>3.344800000000002</v>
      </c>
      <c r="L7" s="6">
        <v>3.7130000000000005</v>
      </c>
      <c r="N7" s="6">
        <v>3.344800000000002</v>
      </c>
      <c r="O7" s="6">
        <v>3.7130000000000005</v>
      </c>
      <c r="Q7" s="3">
        <f t="shared" si="0"/>
        <v>0.54510000000000236</v>
      </c>
      <c r="R7" s="3">
        <f t="shared" si="1"/>
        <v>0.81765000000000354</v>
      </c>
      <c r="S7" s="3">
        <f t="shared" si="2"/>
        <v>3.6173500000000032</v>
      </c>
      <c r="T7" s="26">
        <v>3.85</v>
      </c>
      <c r="U7" s="18">
        <f t="shared" si="3"/>
        <v>-0.23264999999999691</v>
      </c>
      <c r="V7" s="27">
        <f t="shared" si="4"/>
        <v>3.4803500000000036</v>
      </c>
    </row>
    <row r="8" spans="1:22" ht="15.75" x14ac:dyDescent="0.25">
      <c r="B8" s="30">
        <v>28</v>
      </c>
      <c r="C8" s="31">
        <v>25.146999999999984</v>
      </c>
      <c r="D8" s="19">
        <v>25.283599999999993</v>
      </c>
      <c r="F8" s="5">
        <v>28</v>
      </c>
      <c r="G8" s="5">
        <v>2.8000000000000016</v>
      </c>
      <c r="H8" s="5">
        <v>3.0999999999999988</v>
      </c>
      <c r="J8" s="5">
        <v>28</v>
      </c>
      <c r="K8" s="6">
        <v>4.1669999999999989</v>
      </c>
      <c r="L8" s="6">
        <v>4.7089999999999996</v>
      </c>
      <c r="N8" s="6">
        <v>4.1669999999999989</v>
      </c>
      <c r="O8" s="6">
        <v>4.7089999999999996</v>
      </c>
      <c r="Q8" s="3">
        <f t="shared" si="0"/>
        <v>1.0891999999999999</v>
      </c>
      <c r="R8" s="3">
        <f t="shared" si="1"/>
        <v>1.6337999999999999</v>
      </c>
      <c r="S8" s="3">
        <f t="shared" si="2"/>
        <v>4.7115999999999989</v>
      </c>
      <c r="T8" s="26">
        <v>4.25</v>
      </c>
      <c r="U8" s="18">
        <f t="shared" si="3"/>
        <v>0.4615999999999989</v>
      </c>
      <c r="V8" s="27">
        <f t="shared" si="4"/>
        <v>5.1705999999999985</v>
      </c>
    </row>
    <row r="9" spans="1:22" ht="15.75" x14ac:dyDescent="0.25">
      <c r="B9" s="30">
        <v>56</v>
      </c>
      <c r="C9" s="31">
        <v>27.53</v>
      </c>
      <c r="D9" s="19">
        <v>27.795999999999996</v>
      </c>
      <c r="F9" s="5">
        <v>56</v>
      </c>
      <c r="G9" s="5">
        <v>3</v>
      </c>
      <c r="H9" s="5">
        <v>3.3000000000000012</v>
      </c>
      <c r="J9" s="5">
        <v>56</v>
      </c>
      <c r="K9" s="6">
        <v>4.5179999999999998</v>
      </c>
      <c r="L9" s="6">
        <v>5.1499999999999977</v>
      </c>
      <c r="N9" s="6">
        <v>4.5179999999999998</v>
      </c>
      <c r="O9" s="6">
        <v>5.1499999999999977</v>
      </c>
      <c r="Q9" s="3">
        <f t="shared" si="0"/>
        <v>1.1037999999999992</v>
      </c>
      <c r="R9" s="3">
        <f t="shared" si="1"/>
        <v>1.6556999999999988</v>
      </c>
      <c r="S9" s="3">
        <f t="shared" si="2"/>
        <v>5.0698999999999996</v>
      </c>
      <c r="T9" s="26">
        <v>4.8</v>
      </c>
      <c r="U9" s="18">
        <f t="shared" si="3"/>
        <v>0.26989999999999981</v>
      </c>
      <c r="V9" s="27">
        <f t="shared" si="4"/>
        <v>5.4198999999999975</v>
      </c>
    </row>
    <row r="10" spans="1:22" ht="15.75" x14ac:dyDescent="0.25">
      <c r="B10" s="30">
        <v>90</v>
      </c>
      <c r="C10" s="31">
        <v>28.595999999999993</v>
      </c>
      <c r="D10" s="19">
        <v>29.385000000000002</v>
      </c>
      <c r="F10" s="5">
        <v>90</v>
      </c>
      <c r="G10" s="5">
        <v>3.0999999999999988</v>
      </c>
      <c r="H10" s="5">
        <v>3.3000000000000012</v>
      </c>
      <c r="J10" s="5">
        <v>90</v>
      </c>
      <c r="K10" s="23">
        <v>4.7189999999999941</v>
      </c>
      <c r="L10" s="6">
        <v>5.4220000000000015</v>
      </c>
      <c r="N10" s="23">
        <v>4.7189999999999941</v>
      </c>
      <c r="O10" s="6">
        <v>5.4220000000000015</v>
      </c>
      <c r="Q10" s="3">
        <f t="shared" si="0"/>
        <v>1.095599999999993</v>
      </c>
      <c r="R10" s="3">
        <f t="shared" si="1"/>
        <v>1.6433999999999895</v>
      </c>
      <c r="S10" s="3">
        <f t="shared" si="2"/>
        <v>5.266799999999991</v>
      </c>
      <c r="T10" s="26">
        <v>5.0999999999999996</v>
      </c>
      <c r="U10" s="18">
        <f t="shared" si="3"/>
        <v>0.1667999999999914</v>
      </c>
      <c r="V10" s="27">
        <f t="shared" si="4"/>
        <v>5.5887999999999929</v>
      </c>
    </row>
    <row r="13" spans="1:22" ht="46.5" customHeight="1" x14ac:dyDescent="0.25">
      <c r="A13">
        <v>4</v>
      </c>
      <c r="B13" s="44" t="s">
        <v>11</v>
      </c>
      <c r="C13" s="45" t="s">
        <v>46</v>
      </c>
      <c r="D13" s="45" t="s">
        <v>47</v>
      </c>
      <c r="F13" s="44" t="s">
        <v>11</v>
      </c>
      <c r="G13" s="45" t="s">
        <v>46</v>
      </c>
      <c r="H13" s="45" t="s">
        <v>47</v>
      </c>
      <c r="J13" s="44" t="s">
        <v>11</v>
      </c>
      <c r="K13" s="45" t="s">
        <v>46</v>
      </c>
      <c r="L13" s="45" t="s">
        <v>47</v>
      </c>
      <c r="N13" s="44" t="s">
        <v>11</v>
      </c>
      <c r="O13" s="45" t="s">
        <v>46</v>
      </c>
      <c r="P13" s="45" t="s">
        <v>47</v>
      </c>
    </row>
    <row r="14" spans="1:22" ht="15.75" x14ac:dyDescent="0.25">
      <c r="B14" s="30">
        <v>7</v>
      </c>
      <c r="C14" s="31">
        <v>18.4589</v>
      </c>
      <c r="D14" s="31">
        <v>19.978100000000005</v>
      </c>
      <c r="F14" s="31">
        <v>7</v>
      </c>
      <c r="G14" s="31">
        <v>2.7906000000000004</v>
      </c>
      <c r="H14" s="31">
        <v>3.1984000000000004</v>
      </c>
      <c r="J14" s="13">
        <v>7</v>
      </c>
      <c r="K14" s="19">
        <v>2.0071999999999997</v>
      </c>
      <c r="L14" s="19">
        <v>2.4033000000000002</v>
      </c>
      <c r="N14" s="30">
        <v>7</v>
      </c>
      <c r="O14" s="31">
        <v>3</v>
      </c>
      <c r="P14" s="31">
        <v>3.4365500000000009</v>
      </c>
      <c r="S14" s="26">
        <f>O14+T14</f>
        <v>3.45</v>
      </c>
      <c r="T14" s="8">
        <f>O14*(15%)</f>
        <v>0.44999999999999996</v>
      </c>
      <c r="U14" s="8"/>
      <c r="V14" s="27">
        <f>T14+P14</f>
        <v>3.8865500000000006</v>
      </c>
    </row>
    <row r="15" spans="1:22" ht="15.75" x14ac:dyDescent="0.25">
      <c r="B15" s="30">
        <v>14</v>
      </c>
      <c r="C15" s="31">
        <v>22.526500000000002</v>
      </c>
      <c r="D15" s="31">
        <v>24.09249999999999</v>
      </c>
      <c r="F15" s="31">
        <v>14</v>
      </c>
      <c r="G15" s="31">
        <v>3.3100000000000009</v>
      </c>
      <c r="H15" s="31">
        <v>3.7980000000000005</v>
      </c>
      <c r="J15" s="13">
        <v>14</v>
      </c>
      <c r="K15" s="19">
        <v>2.4025999999999992</v>
      </c>
      <c r="L15" s="19">
        <v>2.8773000000000009</v>
      </c>
      <c r="N15" s="30">
        <v>14</v>
      </c>
      <c r="O15" s="31">
        <v>3.52</v>
      </c>
      <c r="P15" s="31">
        <v>3.49655</v>
      </c>
      <c r="S15" s="26">
        <f t="shared" ref="S15:S19" si="5">O15+T15</f>
        <v>4.048</v>
      </c>
      <c r="T15" s="8">
        <f t="shared" ref="T15:T19" si="6">O15*(15%)</f>
        <v>0.52800000000000002</v>
      </c>
      <c r="U15" s="8"/>
      <c r="V15" s="27">
        <f t="shared" ref="V15:V19" si="7">T15+P15</f>
        <v>4.0245499999999996</v>
      </c>
    </row>
    <row r="16" spans="1:22" ht="15.75" x14ac:dyDescent="0.25">
      <c r="B16" s="30">
        <v>21</v>
      </c>
      <c r="C16" s="31">
        <v>24.972199999999994</v>
      </c>
      <c r="D16" s="31">
        <v>27.009699999999988</v>
      </c>
      <c r="F16" s="31">
        <v>21</v>
      </c>
      <c r="G16" s="31">
        <v>3.7330000000000014</v>
      </c>
      <c r="H16" s="31">
        <v>4.3153000000000006</v>
      </c>
      <c r="J16" s="13">
        <v>21</v>
      </c>
      <c r="K16" s="19">
        <v>2.7996999999999996</v>
      </c>
      <c r="L16" s="19">
        <v>3.3103999999999996</v>
      </c>
      <c r="N16" s="30">
        <v>21</v>
      </c>
      <c r="O16" s="31">
        <v>3.85</v>
      </c>
      <c r="P16" s="31">
        <v>3.4803500000000036</v>
      </c>
      <c r="S16" s="26">
        <f t="shared" si="5"/>
        <v>4.4275000000000002</v>
      </c>
      <c r="T16" s="8">
        <f t="shared" si="6"/>
        <v>0.57750000000000001</v>
      </c>
      <c r="U16" s="8"/>
      <c r="V16" s="27">
        <f t="shared" si="7"/>
        <v>4.0578500000000037</v>
      </c>
    </row>
    <row r="17" spans="1:22" ht="15.75" x14ac:dyDescent="0.25">
      <c r="B17" s="30">
        <v>28</v>
      </c>
      <c r="C17" s="31">
        <v>26.944400000000005</v>
      </c>
      <c r="D17" s="31">
        <v>30.141600000000004</v>
      </c>
      <c r="F17" s="31">
        <v>28</v>
      </c>
      <c r="G17" s="31">
        <v>4.0292999999999992</v>
      </c>
      <c r="H17" s="31">
        <v>4.8072000000000008</v>
      </c>
      <c r="J17" s="13">
        <v>28</v>
      </c>
      <c r="K17" s="24">
        <v>3.077799999999999</v>
      </c>
      <c r="L17" s="24">
        <v>3.7951999999999995</v>
      </c>
      <c r="N17" s="30">
        <v>28</v>
      </c>
      <c r="O17" s="31">
        <v>4.25</v>
      </c>
      <c r="P17" s="31">
        <v>5.1705999999999985</v>
      </c>
      <c r="S17" s="26">
        <f t="shared" si="5"/>
        <v>4.8875000000000002</v>
      </c>
      <c r="T17" s="8">
        <f t="shared" si="6"/>
        <v>0.63749999999999996</v>
      </c>
      <c r="U17" s="8"/>
      <c r="V17" s="27">
        <f t="shared" si="7"/>
        <v>5.8080999999999987</v>
      </c>
    </row>
    <row r="18" spans="1:22" ht="15.75" x14ac:dyDescent="0.25">
      <c r="B18" s="30">
        <v>56</v>
      </c>
      <c r="C18" s="31">
        <v>29.071399999999997</v>
      </c>
      <c r="D18" s="31">
        <v>32.703499999999991</v>
      </c>
      <c r="F18" s="31">
        <v>56</v>
      </c>
      <c r="G18" s="31">
        <v>4.296599999999998</v>
      </c>
      <c r="H18" s="31">
        <v>5.1774000000000004</v>
      </c>
      <c r="J18" s="13">
        <v>56</v>
      </c>
      <c r="K18" s="24">
        <v>3.4142000000000006</v>
      </c>
      <c r="L18" s="24">
        <v>4.0747999999999998</v>
      </c>
      <c r="N18" s="30">
        <v>56</v>
      </c>
      <c r="O18" s="31">
        <v>4.8</v>
      </c>
      <c r="P18" s="31">
        <v>5.4198999999999975</v>
      </c>
      <c r="S18" s="26">
        <f t="shared" si="5"/>
        <v>5.52</v>
      </c>
      <c r="T18" s="8">
        <f t="shared" si="6"/>
        <v>0.72</v>
      </c>
      <c r="U18" s="8"/>
      <c r="V18" s="27">
        <f t="shared" si="7"/>
        <v>6.1398999999999972</v>
      </c>
    </row>
    <row r="19" spans="1:22" ht="15.75" x14ac:dyDescent="0.25">
      <c r="B19" s="30">
        <v>90</v>
      </c>
      <c r="C19" s="31">
        <v>30.846399999999999</v>
      </c>
      <c r="D19" s="31">
        <v>34.9099</v>
      </c>
      <c r="F19" s="31">
        <v>90</v>
      </c>
      <c r="G19" s="31">
        <v>4.6201000000000008</v>
      </c>
      <c r="H19" s="31">
        <v>5.6033000000000008</v>
      </c>
      <c r="J19" s="13">
        <v>90</v>
      </c>
      <c r="K19" s="24">
        <v>3.6234000000000011</v>
      </c>
      <c r="L19" s="24">
        <v>4.3949999999999987</v>
      </c>
      <c r="N19" s="30">
        <v>90</v>
      </c>
      <c r="O19" s="31">
        <v>5.0999999999999996</v>
      </c>
      <c r="P19" s="31">
        <v>5.5887999999999929</v>
      </c>
      <c r="S19" s="26">
        <f t="shared" si="5"/>
        <v>5.8649999999999993</v>
      </c>
      <c r="T19" s="8">
        <f t="shared" si="6"/>
        <v>0.7649999999999999</v>
      </c>
      <c r="U19" s="8"/>
      <c r="V19" s="27">
        <f t="shared" si="7"/>
        <v>6.3537999999999926</v>
      </c>
    </row>
    <row r="20" spans="1:22" x14ac:dyDescent="0.25">
      <c r="B20" s="16"/>
    </row>
    <row r="24" spans="1:22" ht="47.25" x14ac:dyDescent="0.25">
      <c r="A24">
        <v>5</v>
      </c>
      <c r="B24" s="44" t="s">
        <v>11</v>
      </c>
      <c r="C24" s="45" t="s">
        <v>46</v>
      </c>
      <c r="D24" s="45" t="s">
        <v>47</v>
      </c>
      <c r="F24" s="44" t="s">
        <v>11</v>
      </c>
      <c r="G24" s="45" t="s">
        <v>46</v>
      </c>
      <c r="H24" s="45" t="s">
        <v>47</v>
      </c>
      <c r="J24" s="44" t="s">
        <v>11</v>
      </c>
      <c r="K24" s="45" t="s">
        <v>46</v>
      </c>
      <c r="L24" s="45" t="s">
        <v>47</v>
      </c>
      <c r="N24" s="44" t="s">
        <v>11</v>
      </c>
      <c r="O24" s="45" t="s">
        <v>46</v>
      </c>
      <c r="P24" s="45" t="s">
        <v>47</v>
      </c>
    </row>
    <row r="25" spans="1:22" ht="15.75" x14ac:dyDescent="0.25">
      <c r="B25" s="30">
        <v>7</v>
      </c>
      <c r="C25" s="31">
        <v>18.443000000000001</v>
      </c>
      <c r="D25" s="31">
        <v>20.997400000000006</v>
      </c>
      <c r="F25" s="30">
        <v>7</v>
      </c>
      <c r="G25" s="31">
        <v>3.6930000000000005</v>
      </c>
      <c r="H25" s="31">
        <v>3.91791</v>
      </c>
      <c r="J25" s="13">
        <v>7</v>
      </c>
      <c r="K25" s="24">
        <v>2.0474999999999994</v>
      </c>
      <c r="L25" s="24">
        <v>2.2969999999999953</v>
      </c>
      <c r="N25" s="30">
        <v>7</v>
      </c>
      <c r="O25" s="31">
        <v>3.45</v>
      </c>
      <c r="P25" s="31">
        <v>3.8865500000000006</v>
      </c>
    </row>
    <row r="26" spans="1:22" ht="15.75" x14ac:dyDescent="0.25">
      <c r="B26" s="30">
        <v>14</v>
      </c>
      <c r="C26" s="31">
        <v>22.52920000000001</v>
      </c>
      <c r="D26" s="31">
        <v>25.545500000000008</v>
      </c>
      <c r="F26" s="30">
        <v>14</v>
      </c>
      <c r="G26" s="31">
        <v>4.2425000000000006</v>
      </c>
      <c r="H26" s="31">
        <v>4.5671499999999998</v>
      </c>
      <c r="J26" s="13">
        <v>14</v>
      </c>
      <c r="K26" s="24">
        <v>2.3723399999999999</v>
      </c>
      <c r="L26" s="24">
        <v>2.6969999999999983</v>
      </c>
      <c r="N26" s="30">
        <v>14</v>
      </c>
      <c r="O26" s="31">
        <v>4.048</v>
      </c>
      <c r="P26" s="31">
        <v>4.0245499999999996</v>
      </c>
    </row>
    <row r="27" spans="1:22" ht="15.75" x14ac:dyDescent="0.25">
      <c r="B27" s="30">
        <v>21</v>
      </c>
      <c r="C27" s="31">
        <v>24.923699999999993</v>
      </c>
      <c r="D27" s="31">
        <v>28.585599999999999</v>
      </c>
      <c r="F27" s="30">
        <v>21</v>
      </c>
      <c r="G27" s="31">
        <v>4.7919999999999998</v>
      </c>
      <c r="H27" s="31">
        <v>5.2169500000000006</v>
      </c>
      <c r="J27" s="13">
        <v>21</v>
      </c>
      <c r="K27" s="24">
        <v>2.6969999999999983</v>
      </c>
      <c r="L27" s="24">
        <v>3.0969999999999982</v>
      </c>
      <c r="N27" s="30">
        <v>21</v>
      </c>
      <c r="O27" s="31">
        <v>4.4275000000000002</v>
      </c>
      <c r="P27" s="31">
        <v>4.0578500000000037</v>
      </c>
    </row>
    <row r="28" spans="1:22" ht="15.75" x14ac:dyDescent="0.25">
      <c r="B28" s="30">
        <v>28</v>
      </c>
      <c r="C28" s="31">
        <v>27.073499999999996</v>
      </c>
      <c r="D28" s="31">
        <v>31.520100000000003</v>
      </c>
      <c r="F28" s="30">
        <v>28</v>
      </c>
      <c r="G28" s="31">
        <v>5.3414999999999999</v>
      </c>
      <c r="H28" s="31">
        <v>5.7664599999999995</v>
      </c>
      <c r="J28" s="13">
        <v>28</v>
      </c>
      <c r="K28" s="24">
        <v>2.9969999999999999</v>
      </c>
      <c r="L28" s="24">
        <v>3.4218400000000004</v>
      </c>
      <c r="N28" s="30">
        <v>28</v>
      </c>
      <c r="O28" s="31">
        <v>4.8875000000000002</v>
      </c>
      <c r="P28" s="31">
        <v>5.8080999999999987</v>
      </c>
    </row>
    <row r="29" spans="1:22" ht="15.75" x14ac:dyDescent="0.25">
      <c r="B29" s="30">
        <v>56</v>
      </c>
      <c r="C29" s="31">
        <v>29.035899999999991</v>
      </c>
      <c r="D29" s="31">
        <v>34.106299999999983</v>
      </c>
      <c r="F29" s="30">
        <v>56</v>
      </c>
      <c r="G29" s="31">
        <v>5.7910000000000004</v>
      </c>
      <c r="H29" s="31">
        <v>6.2156499999999983</v>
      </c>
      <c r="J29" s="13">
        <v>56</v>
      </c>
      <c r="K29" s="24">
        <v>3.2216200000000002</v>
      </c>
      <c r="L29" s="24">
        <v>3.7465000000000002</v>
      </c>
      <c r="N29" s="30">
        <v>56</v>
      </c>
      <c r="O29" s="31">
        <v>5.52</v>
      </c>
      <c r="P29" s="31">
        <v>6.1398999999999972</v>
      </c>
    </row>
    <row r="30" spans="1:22" ht="15.75" x14ac:dyDescent="0.25">
      <c r="B30" s="30">
        <v>90</v>
      </c>
      <c r="C30" s="31">
        <v>30.994800000000009</v>
      </c>
      <c r="D30" s="31">
        <v>36.661100000000005</v>
      </c>
      <c r="F30" s="30">
        <v>90</v>
      </c>
      <c r="G30" s="31">
        <v>6.2404999999999999</v>
      </c>
      <c r="H30" s="31">
        <v>6.6653099999999981</v>
      </c>
      <c r="J30" s="13">
        <v>90</v>
      </c>
      <c r="K30" s="24">
        <v>3.3465000000000007</v>
      </c>
      <c r="L30" s="24">
        <v>4.0959999999999983</v>
      </c>
      <c r="N30" s="30">
        <v>90</v>
      </c>
      <c r="O30" s="31">
        <v>5.8649999999999993</v>
      </c>
      <c r="P30" s="31">
        <v>6.3537999999999926</v>
      </c>
    </row>
    <row r="32" spans="1:22" s="21" customFormat="1" x14ac:dyDescent="0.25">
      <c r="A32" s="22"/>
      <c r="B32" s="22"/>
      <c r="C32" s="22" t="s">
        <v>31</v>
      </c>
      <c r="D32" s="22"/>
      <c r="E32" s="22"/>
      <c r="F32" s="22"/>
      <c r="G32" s="22" t="s">
        <v>32</v>
      </c>
      <c r="H32" s="22"/>
      <c r="I32" s="22"/>
      <c r="J32" s="22"/>
      <c r="K32" s="22" t="s">
        <v>33</v>
      </c>
      <c r="L32" s="22"/>
    </row>
    <row r="33" spans="1:12" ht="45" x14ac:dyDescent="0.25">
      <c r="A33" t="s">
        <v>27</v>
      </c>
      <c r="B33" s="7" t="s">
        <v>11</v>
      </c>
      <c r="C33" s="4" t="s">
        <v>26</v>
      </c>
      <c r="D33" s="4" t="s">
        <v>12</v>
      </c>
      <c r="F33" s="8" t="s">
        <v>11</v>
      </c>
      <c r="G33" s="9" t="s">
        <v>28</v>
      </c>
      <c r="H33" s="10" t="s">
        <v>29</v>
      </c>
      <c r="J33" s="11" t="s">
        <v>11</v>
      </c>
      <c r="K33" s="12" t="s">
        <v>6</v>
      </c>
      <c r="L33" s="12" t="s">
        <v>12</v>
      </c>
    </row>
    <row r="34" spans="1:12" x14ac:dyDescent="0.25">
      <c r="B34" s="5">
        <v>7</v>
      </c>
      <c r="C34" s="6">
        <v>19.344400000000004</v>
      </c>
      <c r="D34" s="6">
        <v>22.035899999999998</v>
      </c>
      <c r="F34" s="8">
        <v>7</v>
      </c>
      <c r="G34" s="3">
        <v>2.9913499999999993</v>
      </c>
      <c r="H34" s="3">
        <v>3.5316899999999989</v>
      </c>
      <c r="J34" s="11">
        <v>7</v>
      </c>
      <c r="K34" s="20">
        <v>1.8040499999999999</v>
      </c>
      <c r="L34" s="20">
        <v>2.1051799999999994</v>
      </c>
    </row>
    <row r="35" spans="1:12" x14ac:dyDescent="0.25">
      <c r="B35" s="5">
        <v>14</v>
      </c>
      <c r="C35" s="6">
        <v>23.533500000000014</v>
      </c>
      <c r="D35" s="6">
        <v>26.490500000000001</v>
      </c>
      <c r="F35" s="8">
        <v>14</v>
      </c>
      <c r="G35" s="18">
        <v>3.6160300000000012</v>
      </c>
      <c r="H35" s="18">
        <v>4.1964999999999995</v>
      </c>
      <c r="J35" s="11">
        <v>14</v>
      </c>
      <c r="K35" s="20">
        <v>2.1970599999999991</v>
      </c>
      <c r="L35" s="20">
        <v>2.5821700000000005</v>
      </c>
    </row>
    <row r="36" spans="1:12" x14ac:dyDescent="0.25">
      <c r="B36" s="5">
        <v>21</v>
      </c>
      <c r="C36" s="6">
        <v>25.597100000000001</v>
      </c>
      <c r="D36" s="6">
        <v>29.842600000000008</v>
      </c>
      <c r="F36" s="8">
        <v>21</v>
      </c>
      <c r="G36" s="18">
        <v>3.9045300000000016</v>
      </c>
      <c r="H36" s="18">
        <v>4.63056</v>
      </c>
      <c r="J36" s="11">
        <v>21</v>
      </c>
      <c r="K36" s="20">
        <v>2.3857100000000004</v>
      </c>
      <c r="L36" s="20">
        <v>2.8908799999999979</v>
      </c>
    </row>
    <row r="37" spans="1:12" x14ac:dyDescent="0.25">
      <c r="B37" s="5">
        <v>28</v>
      </c>
      <c r="C37" s="6">
        <v>28.160699999999999</v>
      </c>
      <c r="D37" s="6">
        <v>33.041899999999998</v>
      </c>
      <c r="F37" s="8">
        <v>28</v>
      </c>
      <c r="G37" s="18">
        <v>4.1892700000000014</v>
      </c>
      <c r="H37" s="18">
        <v>5.0083099999999998</v>
      </c>
      <c r="J37" s="11">
        <v>28</v>
      </c>
      <c r="K37" s="20">
        <v>2.6799700000000009</v>
      </c>
      <c r="L37" s="20">
        <v>3.1752400000000018</v>
      </c>
    </row>
    <row r="38" spans="1:12" x14ac:dyDescent="0.25">
      <c r="B38" s="5">
        <v>56</v>
      </c>
      <c r="C38" s="6">
        <v>30.916399999999999</v>
      </c>
      <c r="D38" s="6">
        <v>37.240600000000001</v>
      </c>
      <c r="F38" s="8">
        <v>56</v>
      </c>
      <c r="G38" s="18">
        <v>4.5990199999999986</v>
      </c>
      <c r="H38" s="18">
        <v>5.5303099999999992</v>
      </c>
      <c r="J38" s="11">
        <v>56</v>
      </c>
      <c r="K38" s="20">
        <v>2.9042000000000003</v>
      </c>
      <c r="L38" s="20">
        <v>3.5001400000000014</v>
      </c>
    </row>
    <row r="39" spans="1:12" x14ac:dyDescent="0.25">
      <c r="B39" s="5">
        <v>90</v>
      </c>
      <c r="C39" s="6">
        <v>32.826699999999995</v>
      </c>
      <c r="D39" s="6">
        <v>40.660800000000002</v>
      </c>
      <c r="F39" s="8">
        <v>90</v>
      </c>
      <c r="G39" s="18">
        <v>4.9134399999999969</v>
      </c>
      <c r="H39" s="18">
        <v>5.9132700000000007</v>
      </c>
      <c r="J39" s="11">
        <v>90</v>
      </c>
      <c r="K39" s="20">
        <v>3.1161800000000004</v>
      </c>
      <c r="L39" s="20">
        <v>3.8042800000000003</v>
      </c>
    </row>
    <row r="42" spans="1:12" x14ac:dyDescent="0.25">
      <c r="C42" t="s">
        <v>31</v>
      </c>
      <c r="G42" t="s">
        <v>32</v>
      </c>
      <c r="K42" t="s">
        <v>33</v>
      </c>
    </row>
    <row r="43" spans="1:12" ht="31.5" x14ac:dyDescent="0.25">
      <c r="A43">
        <v>7</v>
      </c>
      <c r="B43" s="13" t="s">
        <v>11</v>
      </c>
      <c r="C43" s="14" t="s">
        <v>6</v>
      </c>
      <c r="D43" s="14" t="s">
        <v>30</v>
      </c>
      <c r="F43" s="8" t="s">
        <v>11</v>
      </c>
      <c r="G43" s="10" t="s">
        <v>6</v>
      </c>
      <c r="H43" s="10" t="s">
        <v>30</v>
      </c>
      <c r="J43" s="13" t="s">
        <v>11</v>
      </c>
      <c r="K43" s="14" t="s">
        <v>6</v>
      </c>
      <c r="L43" s="14" t="s">
        <v>30</v>
      </c>
    </row>
    <row r="44" spans="1:12" ht="15.75" x14ac:dyDescent="0.25">
      <c r="B44" s="13">
        <v>7</v>
      </c>
      <c r="C44" s="19">
        <v>22.95</v>
      </c>
      <c r="D44" s="19">
        <v>27.940000000000005</v>
      </c>
      <c r="F44" s="8">
        <v>7</v>
      </c>
      <c r="G44" s="18">
        <v>3.742500000000001</v>
      </c>
      <c r="H44" s="18">
        <v>4.3414999999999999</v>
      </c>
      <c r="J44" s="13">
        <v>7</v>
      </c>
      <c r="K44" s="18">
        <v>2.0474999999999994</v>
      </c>
      <c r="L44" s="18">
        <v>2.5219499999999995</v>
      </c>
    </row>
    <row r="45" spans="1:12" ht="15.75" x14ac:dyDescent="0.25">
      <c r="B45" s="13">
        <v>14</v>
      </c>
      <c r="C45" s="19">
        <v>27.445</v>
      </c>
      <c r="D45" s="19">
        <v>33.434999999999995</v>
      </c>
      <c r="F45" s="8">
        <v>14</v>
      </c>
      <c r="G45" s="18">
        <v>4.3919999999999995</v>
      </c>
      <c r="H45" s="18">
        <v>5.0910000000000011</v>
      </c>
      <c r="J45" s="13">
        <v>14</v>
      </c>
      <c r="K45" s="18">
        <v>2.3723399999999999</v>
      </c>
      <c r="L45" s="18">
        <v>2.9964999999999997</v>
      </c>
    </row>
    <row r="46" spans="1:12" ht="15.75" x14ac:dyDescent="0.25">
      <c r="B46" s="13">
        <v>21</v>
      </c>
      <c r="C46" s="19">
        <v>30.940000000000005</v>
      </c>
      <c r="D46" s="19">
        <v>37.93</v>
      </c>
      <c r="F46" s="8">
        <v>21</v>
      </c>
      <c r="G46" s="18">
        <v>4.9415000000000013</v>
      </c>
      <c r="H46" s="18">
        <v>5.7405000000000017</v>
      </c>
      <c r="J46" s="13">
        <v>21</v>
      </c>
      <c r="K46" s="18">
        <v>2.6969999999999983</v>
      </c>
      <c r="L46" s="18">
        <v>3.4210499999999993</v>
      </c>
    </row>
    <row r="47" spans="1:12" ht="15.75" x14ac:dyDescent="0.25">
      <c r="B47" s="13">
        <v>28</v>
      </c>
      <c r="C47" s="19">
        <v>34.434999999999995</v>
      </c>
      <c r="D47" s="19">
        <v>42.424999999999997</v>
      </c>
      <c r="F47" s="8">
        <v>28</v>
      </c>
      <c r="G47" s="18">
        <v>5.4909999999999979</v>
      </c>
      <c r="H47" s="18">
        <v>6.3899999999999988</v>
      </c>
      <c r="J47" s="13">
        <v>28</v>
      </c>
      <c r="K47" s="18">
        <v>2.9969999999999999</v>
      </c>
      <c r="L47" s="18">
        <v>3.7960000000000007</v>
      </c>
    </row>
    <row r="48" spans="1:12" ht="15.75" x14ac:dyDescent="0.25">
      <c r="B48" s="13">
        <v>56</v>
      </c>
      <c r="C48" s="19">
        <v>36.929999999999993</v>
      </c>
      <c r="D48" s="19">
        <v>45.920000000000009</v>
      </c>
      <c r="F48" s="8">
        <v>56</v>
      </c>
      <c r="G48" s="18">
        <v>5.9404999999999992</v>
      </c>
      <c r="H48" s="18">
        <v>6.9395000000000016</v>
      </c>
      <c r="J48" s="13">
        <v>56</v>
      </c>
      <c r="K48" s="18">
        <v>3.2216200000000002</v>
      </c>
      <c r="L48" s="18">
        <v>4.22065</v>
      </c>
    </row>
    <row r="49" spans="1:12" ht="15.75" x14ac:dyDescent="0.25">
      <c r="B49" s="13">
        <v>90</v>
      </c>
      <c r="C49" s="19">
        <v>39.424999999999997</v>
      </c>
      <c r="D49" s="19">
        <v>49.414999999999999</v>
      </c>
      <c r="F49" s="8">
        <v>90</v>
      </c>
      <c r="G49" s="18">
        <v>6.3899999999999988</v>
      </c>
      <c r="H49" s="18">
        <v>7.4889999999999999</v>
      </c>
      <c r="J49" s="13">
        <v>90</v>
      </c>
      <c r="K49" s="18">
        <v>3.3465000000000007</v>
      </c>
      <c r="L49" s="18">
        <v>4.5455000000000005</v>
      </c>
    </row>
    <row r="53" spans="1:12" ht="31.5" x14ac:dyDescent="0.25">
      <c r="A53">
        <v>8</v>
      </c>
      <c r="B53" s="13" t="s">
        <v>11</v>
      </c>
      <c r="C53" s="14" t="s">
        <v>6</v>
      </c>
      <c r="D53" s="14" t="s">
        <v>30</v>
      </c>
      <c r="F53" s="13" t="s">
        <v>11</v>
      </c>
      <c r="G53" s="14" t="s">
        <v>6</v>
      </c>
      <c r="H53" s="14" t="s">
        <v>30</v>
      </c>
      <c r="J53" s="13" t="s">
        <v>11</v>
      </c>
      <c r="K53" s="14" t="s">
        <v>6</v>
      </c>
      <c r="L53" s="14" t="s">
        <v>30</v>
      </c>
    </row>
    <row r="54" spans="1:12" ht="15.75" x14ac:dyDescent="0.25">
      <c r="B54" s="13">
        <v>7</v>
      </c>
      <c r="C54" s="8">
        <v>22.95</v>
      </c>
      <c r="D54" s="8">
        <v>29.940000000000008</v>
      </c>
      <c r="F54" s="13">
        <v>7</v>
      </c>
      <c r="G54" s="18">
        <v>3.742500000000001</v>
      </c>
      <c r="H54" s="18">
        <v>4.5415000000000001</v>
      </c>
      <c r="J54" s="13">
        <v>7</v>
      </c>
      <c r="K54" s="18">
        <v>2.0474999999999994</v>
      </c>
      <c r="L54" s="18">
        <v>2.5970000000000004</v>
      </c>
    </row>
    <row r="55" spans="1:12" ht="15.75" x14ac:dyDescent="0.25">
      <c r="B55" s="13">
        <v>14</v>
      </c>
      <c r="C55" s="8">
        <v>27.445</v>
      </c>
      <c r="D55" s="8">
        <v>35.435000000000002</v>
      </c>
      <c r="F55" s="13">
        <v>14</v>
      </c>
      <c r="G55" s="18">
        <v>4.3919999999999995</v>
      </c>
      <c r="H55" s="18">
        <v>5.3909999999999991</v>
      </c>
      <c r="J55" s="13">
        <v>14</v>
      </c>
      <c r="K55" s="18">
        <v>2.3723399999999999</v>
      </c>
      <c r="L55" s="18">
        <v>3.1215599999999997</v>
      </c>
    </row>
    <row r="56" spans="1:12" ht="15.75" x14ac:dyDescent="0.25">
      <c r="B56" s="13">
        <v>21</v>
      </c>
      <c r="C56" s="8">
        <v>30.940000000000005</v>
      </c>
      <c r="D56" s="8">
        <v>40.93</v>
      </c>
      <c r="F56" s="13">
        <v>21</v>
      </c>
      <c r="G56" s="18">
        <v>4.9415000000000013</v>
      </c>
      <c r="H56" s="18">
        <v>6.1404999999999976</v>
      </c>
      <c r="J56" s="13">
        <v>21</v>
      </c>
      <c r="K56" s="18">
        <v>2.6969999999999983</v>
      </c>
      <c r="L56" s="18">
        <v>3.5465000000000004</v>
      </c>
    </row>
    <row r="57" spans="1:12" ht="15.75" x14ac:dyDescent="0.25">
      <c r="B57" s="13">
        <v>28</v>
      </c>
      <c r="C57" s="8">
        <v>34.434999999999995</v>
      </c>
      <c r="D57" s="8">
        <v>45.424999999999997</v>
      </c>
      <c r="F57" s="13">
        <v>28</v>
      </c>
      <c r="G57" s="18">
        <v>5.4909999999999979</v>
      </c>
      <c r="H57" s="18">
        <v>6.79</v>
      </c>
      <c r="J57" s="13">
        <v>28</v>
      </c>
      <c r="K57" s="18">
        <v>2.9969999999999999</v>
      </c>
      <c r="L57" s="18">
        <v>3.9713199999999991</v>
      </c>
    </row>
    <row r="58" spans="1:12" ht="15.75" x14ac:dyDescent="0.25">
      <c r="B58" s="13">
        <v>56</v>
      </c>
      <c r="C58" s="8">
        <v>36.929999999999993</v>
      </c>
      <c r="D58" s="8">
        <v>49.920000000000009</v>
      </c>
      <c r="F58" s="13">
        <v>56</v>
      </c>
      <c r="G58" s="18">
        <v>5.9404999999999992</v>
      </c>
      <c r="H58" s="18">
        <v>7.4395000000000007</v>
      </c>
      <c r="J58" s="13">
        <v>56</v>
      </c>
      <c r="K58" s="18">
        <v>3.2216200000000002</v>
      </c>
      <c r="L58" s="18">
        <v>4.2960000000000012</v>
      </c>
    </row>
    <row r="59" spans="1:12" ht="15.75" x14ac:dyDescent="0.25">
      <c r="B59" s="13">
        <v>90</v>
      </c>
      <c r="C59" s="8">
        <v>39.424999999999997</v>
      </c>
      <c r="D59" s="8">
        <v>53.414999999999992</v>
      </c>
      <c r="F59" s="13">
        <v>90</v>
      </c>
      <c r="G59" s="18">
        <v>6.3899999999999988</v>
      </c>
      <c r="H59" s="18">
        <v>7.9889999999999999</v>
      </c>
      <c r="J59" s="13">
        <v>90</v>
      </c>
      <c r="K59" s="18">
        <v>3.3465000000000007</v>
      </c>
      <c r="L59" s="18">
        <v>4.62087</v>
      </c>
    </row>
    <row r="64" spans="1:12" ht="31.5" x14ac:dyDescent="0.25">
      <c r="A64">
        <v>9</v>
      </c>
      <c r="B64" s="13" t="s">
        <v>11</v>
      </c>
      <c r="C64" s="14" t="s">
        <v>6</v>
      </c>
      <c r="D64" s="14" t="s">
        <v>30</v>
      </c>
      <c r="F64" s="13" t="s">
        <v>11</v>
      </c>
      <c r="G64" s="14" t="s">
        <v>6</v>
      </c>
      <c r="H64" s="14" t="s">
        <v>30</v>
      </c>
      <c r="J64" s="13" t="s">
        <v>11</v>
      </c>
      <c r="K64" s="14" t="s">
        <v>6</v>
      </c>
      <c r="L64" s="14" t="s">
        <v>30</v>
      </c>
    </row>
    <row r="65" spans="2:12" ht="15.75" x14ac:dyDescent="0.25">
      <c r="B65" s="13">
        <v>7</v>
      </c>
      <c r="C65" s="18">
        <v>22.95</v>
      </c>
      <c r="D65" s="18">
        <v>30.445</v>
      </c>
      <c r="F65" s="13">
        <v>7</v>
      </c>
      <c r="G65" s="18">
        <v>3.742500000000001</v>
      </c>
      <c r="H65" s="18">
        <v>4.6919999999999993</v>
      </c>
      <c r="J65" s="13">
        <v>7</v>
      </c>
      <c r="K65" s="18">
        <v>2.0474999999999994</v>
      </c>
      <c r="L65" s="18">
        <v>2.6969999999999983</v>
      </c>
    </row>
    <row r="66" spans="2:12" ht="15.75" x14ac:dyDescent="0.25">
      <c r="B66" s="13">
        <v>14</v>
      </c>
      <c r="C66" s="18">
        <v>27.445</v>
      </c>
      <c r="D66" s="18">
        <v>36.94</v>
      </c>
      <c r="F66" s="13">
        <v>14</v>
      </c>
      <c r="G66" s="18">
        <v>4.3919999999999995</v>
      </c>
      <c r="H66" s="18">
        <v>5.6414999999999988</v>
      </c>
      <c r="J66" s="13">
        <v>14</v>
      </c>
      <c r="K66" s="18">
        <v>2.3723399999999999</v>
      </c>
      <c r="L66" s="18">
        <v>3.2216200000000002</v>
      </c>
    </row>
    <row r="67" spans="2:12" ht="15.75" x14ac:dyDescent="0.25">
      <c r="B67" s="13">
        <v>21</v>
      </c>
      <c r="C67" s="18">
        <v>30.940000000000005</v>
      </c>
      <c r="D67" s="18">
        <v>42.434999999999988</v>
      </c>
      <c r="F67" s="13">
        <v>21</v>
      </c>
      <c r="G67" s="18">
        <v>4.9415000000000013</v>
      </c>
      <c r="H67" s="18">
        <v>6.3909999999999965</v>
      </c>
      <c r="J67" s="13">
        <v>21</v>
      </c>
      <c r="K67" s="18">
        <v>2.6969999999999983</v>
      </c>
      <c r="L67" s="18">
        <v>3.6464999999999992</v>
      </c>
    </row>
    <row r="68" spans="2:12" ht="15.75" x14ac:dyDescent="0.25">
      <c r="B68" s="13">
        <v>28</v>
      </c>
      <c r="C68" s="18">
        <v>34.434999999999995</v>
      </c>
      <c r="D68" s="18">
        <v>46.930000000000007</v>
      </c>
      <c r="F68" s="13">
        <v>28</v>
      </c>
      <c r="G68" s="18">
        <v>5.4909999999999979</v>
      </c>
      <c r="H68" s="18">
        <v>7.0404999999999998</v>
      </c>
      <c r="J68" s="13">
        <v>28</v>
      </c>
      <c r="K68" s="18">
        <v>3.0219499999999999</v>
      </c>
      <c r="L68" s="18">
        <v>4.0713800000000004</v>
      </c>
    </row>
    <row r="69" spans="2:12" ht="15.75" x14ac:dyDescent="0.25">
      <c r="B69" s="13">
        <v>56</v>
      </c>
      <c r="C69" s="18">
        <v>36.929999999999993</v>
      </c>
      <c r="D69" s="18">
        <v>51.424999999999997</v>
      </c>
      <c r="F69" s="13">
        <v>56</v>
      </c>
      <c r="G69" s="18">
        <v>5.9404999999999992</v>
      </c>
      <c r="H69" s="18">
        <v>7.69</v>
      </c>
      <c r="J69" s="13">
        <v>56</v>
      </c>
      <c r="K69" s="18">
        <v>3.2464999999999997</v>
      </c>
      <c r="L69" s="18">
        <v>4.4960000000000004</v>
      </c>
    </row>
    <row r="70" spans="2:12" ht="15.75" x14ac:dyDescent="0.25">
      <c r="B70" s="13">
        <v>90</v>
      </c>
      <c r="C70" s="18">
        <v>39.424999999999997</v>
      </c>
      <c r="D70" s="18">
        <v>54.92</v>
      </c>
      <c r="F70" s="13">
        <v>90</v>
      </c>
      <c r="G70" s="18">
        <v>6.3899999999999988</v>
      </c>
      <c r="H70" s="18">
        <v>8.2394999999999996</v>
      </c>
      <c r="J70" s="13">
        <v>90</v>
      </c>
      <c r="K70" s="18">
        <v>3.4713499999999997</v>
      </c>
      <c r="L70" s="18">
        <v>4.8209700000000018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71"/>
  <sheetViews>
    <sheetView tabSelected="1" topLeftCell="R46" workbookViewId="0">
      <selection activeCell="Q64" sqref="Q64:S70"/>
    </sheetView>
  </sheetViews>
  <sheetFormatPr defaultRowHeight="15" x14ac:dyDescent="0.25"/>
  <cols>
    <col min="3" max="3" width="9" bestFit="1" customWidth="1"/>
  </cols>
  <sheetData>
    <row r="3" spans="1:22" x14ac:dyDescent="0.25">
      <c r="B3" s="53" t="s">
        <v>31</v>
      </c>
      <c r="C3" s="53"/>
      <c r="D3" s="53"/>
      <c r="E3" s="32"/>
      <c r="F3" s="32"/>
      <c r="G3" s="32"/>
      <c r="H3" s="32"/>
      <c r="J3" s="53" t="s">
        <v>32</v>
      </c>
      <c r="K3" s="53"/>
      <c r="L3" s="53"/>
      <c r="M3" s="32"/>
      <c r="N3" s="32"/>
      <c r="O3" s="32"/>
      <c r="Q3" s="53" t="s">
        <v>33</v>
      </c>
      <c r="R3" s="53"/>
      <c r="S3" s="53"/>
      <c r="T3" s="32"/>
      <c r="U3" s="32"/>
      <c r="V3" s="32"/>
    </row>
    <row r="4" spans="1:22" ht="45" x14ac:dyDescent="0.25">
      <c r="A4">
        <v>3</v>
      </c>
      <c r="B4" s="17" t="s">
        <v>11</v>
      </c>
      <c r="C4" s="9" t="s">
        <v>36</v>
      </c>
      <c r="D4" s="9" t="s">
        <v>29</v>
      </c>
      <c r="E4" s="33"/>
      <c r="F4" s="33"/>
      <c r="G4" s="33"/>
      <c r="H4" s="33"/>
      <c r="J4" s="7" t="s">
        <v>11</v>
      </c>
      <c r="K4" s="15" t="s">
        <v>34</v>
      </c>
      <c r="L4" s="9" t="s">
        <v>35</v>
      </c>
      <c r="M4" s="34"/>
      <c r="N4" s="34"/>
      <c r="O4" s="34"/>
      <c r="Q4" s="7" t="s">
        <v>11</v>
      </c>
      <c r="R4" s="15" t="s">
        <v>34</v>
      </c>
      <c r="S4" s="9" t="s">
        <v>35</v>
      </c>
      <c r="T4" s="34"/>
      <c r="U4" s="34"/>
      <c r="V4" s="34"/>
    </row>
    <row r="5" spans="1:22" x14ac:dyDescent="0.25">
      <c r="B5" s="5">
        <v>7</v>
      </c>
      <c r="C5" s="6">
        <v>15.056000000000001</v>
      </c>
      <c r="D5" s="18">
        <v>17.158000000000005</v>
      </c>
      <c r="E5" s="29"/>
      <c r="F5" s="29">
        <f>((D5-C5)/(C5))*100</f>
        <v>13.961211477151991</v>
      </c>
      <c r="G5" s="29"/>
      <c r="H5" s="29"/>
      <c r="J5" s="5">
        <v>7</v>
      </c>
      <c r="K5" s="6">
        <v>2.2119999999999989</v>
      </c>
      <c r="L5" s="5">
        <v>2.5</v>
      </c>
      <c r="M5" s="32"/>
      <c r="N5" s="28">
        <f>L5-K5</f>
        <v>0.28800000000000114</v>
      </c>
      <c r="O5" s="32"/>
      <c r="Q5" s="5">
        <v>7</v>
      </c>
      <c r="R5" s="6">
        <v>2.8451000000000009</v>
      </c>
      <c r="S5" s="6">
        <v>3.1724999999999999</v>
      </c>
      <c r="T5" s="28"/>
      <c r="U5" s="28">
        <f>S5-R5</f>
        <v>0.32739999999999903</v>
      </c>
      <c r="V5" s="28"/>
    </row>
    <row r="6" spans="1:22" x14ac:dyDescent="0.25">
      <c r="B6" s="5">
        <v>14</v>
      </c>
      <c r="C6" s="6">
        <v>19.039000000000001</v>
      </c>
      <c r="D6" s="18">
        <v>20.700799999999987</v>
      </c>
      <c r="E6" s="29"/>
      <c r="F6" s="29">
        <f t="shared" ref="F6:F10" si="0">((D6-C6)/(C6))*100</f>
        <v>8.7283996008192943</v>
      </c>
      <c r="G6" s="29"/>
      <c r="H6" s="29"/>
      <c r="J6" s="5">
        <v>14</v>
      </c>
      <c r="K6" s="5">
        <v>2.5</v>
      </c>
      <c r="L6" s="5">
        <v>2.8000000000000016</v>
      </c>
      <c r="M6" s="32"/>
      <c r="N6" s="28">
        <f t="shared" ref="N6:N10" si="1">L6-K6</f>
        <v>0.3000000000000016</v>
      </c>
      <c r="O6" s="32"/>
      <c r="Q6" s="5">
        <v>14</v>
      </c>
      <c r="R6" s="6">
        <v>3.1483000000000003</v>
      </c>
      <c r="S6" s="6">
        <v>3.4953999999999992</v>
      </c>
      <c r="T6" s="28"/>
      <c r="U6" s="28">
        <f t="shared" ref="U6:U10" si="2">S6-R6</f>
        <v>0.34709999999999885</v>
      </c>
      <c r="V6" s="28"/>
    </row>
    <row r="7" spans="1:22" x14ac:dyDescent="0.25">
      <c r="B7" s="5">
        <v>21</v>
      </c>
      <c r="C7" s="6">
        <v>22.083999999999993</v>
      </c>
      <c r="D7" s="18">
        <v>23.201699999999995</v>
      </c>
      <c r="E7" s="29"/>
      <c r="F7" s="29">
        <f t="shared" si="0"/>
        <v>5.0611302300308063</v>
      </c>
      <c r="G7" s="29"/>
      <c r="H7" s="29"/>
      <c r="J7" s="5">
        <v>21</v>
      </c>
      <c r="K7" s="5">
        <v>2.599999999999997</v>
      </c>
      <c r="L7" s="5">
        <v>3</v>
      </c>
      <c r="M7" s="32"/>
      <c r="N7" s="28">
        <f t="shared" si="1"/>
        <v>0.40000000000000302</v>
      </c>
      <c r="O7" s="32"/>
      <c r="Q7" s="5">
        <v>21</v>
      </c>
      <c r="R7" s="6">
        <v>3.344800000000002</v>
      </c>
      <c r="S7" s="6">
        <v>3.7130000000000005</v>
      </c>
      <c r="T7" s="28"/>
      <c r="U7" s="28">
        <f t="shared" si="2"/>
        <v>0.36819999999999853</v>
      </c>
      <c r="V7" s="28"/>
    </row>
    <row r="8" spans="1:22" x14ac:dyDescent="0.25">
      <c r="B8" s="5">
        <v>28</v>
      </c>
      <c r="C8" s="6">
        <v>25.146999999999984</v>
      </c>
      <c r="D8" s="18">
        <v>25.283599999999993</v>
      </c>
      <c r="E8" s="29"/>
      <c r="F8" s="29">
        <f t="shared" si="0"/>
        <v>0.54320594901979791</v>
      </c>
      <c r="G8" s="29"/>
      <c r="H8" s="29"/>
      <c r="J8" s="5">
        <v>28</v>
      </c>
      <c r="K8" s="5">
        <v>2.8000000000000016</v>
      </c>
      <c r="L8" s="5">
        <v>3.0999999999999988</v>
      </c>
      <c r="M8" s="32"/>
      <c r="N8" s="28">
        <f t="shared" si="1"/>
        <v>0.29999999999999716</v>
      </c>
      <c r="O8" s="32"/>
      <c r="Q8" s="5">
        <v>28</v>
      </c>
      <c r="R8" s="6">
        <v>4.1669999999999989</v>
      </c>
      <c r="S8" s="6">
        <v>4.7089999999999996</v>
      </c>
      <c r="T8" s="28"/>
      <c r="U8" s="28">
        <f t="shared" si="2"/>
        <v>0.5420000000000007</v>
      </c>
      <c r="V8" s="28"/>
    </row>
    <row r="9" spans="1:22" x14ac:dyDescent="0.25">
      <c r="B9" s="5">
        <v>56</v>
      </c>
      <c r="C9" s="6">
        <v>27.53</v>
      </c>
      <c r="D9" s="18">
        <v>27.795999999999996</v>
      </c>
      <c r="E9" s="29"/>
      <c r="F9" s="29">
        <f t="shared" si="0"/>
        <v>0.96621867054120847</v>
      </c>
      <c r="G9" s="29"/>
      <c r="H9" s="29"/>
      <c r="J9" s="5">
        <v>56</v>
      </c>
      <c r="K9" s="5">
        <v>3</v>
      </c>
      <c r="L9" s="5">
        <v>3.3000000000000012</v>
      </c>
      <c r="M9" s="32"/>
      <c r="N9" s="28">
        <f t="shared" si="1"/>
        <v>0.30000000000000115</v>
      </c>
      <c r="O9" s="32"/>
      <c r="Q9" s="5">
        <v>56</v>
      </c>
      <c r="R9" s="6">
        <v>4.5179999999999998</v>
      </c>
      <c r="S9" s="6">
        <v>5.1499999999999977</v>
      </c>
      <c r="T9" s="28"/>
      <c r="U9" s="28">
        <f t="shared" si="2"/>
        <v>0.6319999999999979</v>
      </c>
      <c r="V9" s="28"/>
    </row>
    <row r="10" spans="1:22" x14ac:dyDescent="0.25">
      <c r="B10" s="5">
        <v>90</v>
      </c>
      <c r="C10" s="6">
        <v>28.595999999999993</v>
      </c>
      <c r="D10" s="18">
        <v>29.385000000000002</v>
      </c>
      <c r="E10" s="29"/>
      <c r="F10" s="29">
        <f t="shared" si="0"/>
        <v>2.7591271506504715</v>
      </c>
      <c r="G10" s="29"/>
      <c r="H10" s="29"/>
      <c r="J10" s="5">
        <v>90</v>
      </c>
      <c r="K10" s="5">
        <v>3.0999999999999988</v>
      </c>
      <c r="L10" s="5">
        <v>3.3000000000000012</v>
      </c>
      <c r="M10" s="32"/>
      <c r="N10" s="28">
        <f t="shared" si="1"/>
        <v>0.2000000000000024</v>
      </c>
      <c r="O10" s="32"/>
      <c r="Q10" s="5">
        <v>90</v>
      </c>
      <c r="R10" s="23">
        <v>4.7189999999999941</v>
      </c>
      <c r="S10" s="6">
        <v>5.4220000000000015</v>
      </c>
      <c r="T10" s="28"/>
      <c r="U10" s="28">
        <f t="shared" si="2"/>
        <v>0.7030000000000074</v>
      </c>
      <c r="V10" s="28"/>
    </row>
    <row r="11" spans="1:22" x14ac:dyDescent="0.25">
      <c r="F11" s="3">
        <f>D5-C5</f>
        <v>2.1020000000000039</v>
      </c>
      <c r="N11" s="3">
        <f>SUM(N5:N10)</f>
        <v>1.7880000000000065</v>
      </c>
      <c r="U11" s="3">
        <f>SUM(U5:U10)</f>
        <v>2.9197000000000024</v>
      </c>
    </row>
    <row r="12" spans="1:22" x14ac:dyDescent="0.25">
      <c r="F12" s="3">
        <f>(F11/C5)*100</f>
        <v>13.961211477151991</v>
      </c>
    </row>
    <row r="13" spans="1:22" ht="45" x14ac:dyDescent="0.25">
      <c r="A13">
        <v>4</v>
      </c>
      <c r="B13" s="5" t="s">
        <v>11</v>
      </c>
      <c r="C13" s="9" t="s">
        <v>36</v>
      </c>
      <c r="D13" s="9" t="s">
        <v>37</v>
      </c>
      <c r="E13" s="34"/>
      <c r="F13" s="34"/>
      <c r="G13" s="34"/>
      <c r="H13" s="34"/>
      <c r="J13" s="13" t="s">
        <v>11</v>
      </c>
      <c r="K13" s="14" t="s">
        <v>6</v>
      </c>
      <c r="L13" s="14" t="s">
        <v>30</v>
      </c>
      <c r="M13" s="39"/>
      <c r="N13" s="39"/>
      <c r="O13" s="39"/>
      <c r="Q13" s="13" t="s">
        <v>11</v>
      </c>
      <c r="R13" s="14" t="s">
        <v>6</v>
      </c>
      <c r="S13" s="14" t="s">
        <v>30</v>
      </c>
      <c r="T13" s="39"/>
      <c r="U13" s="39"/>
      <c r="V13" s="39"/>
    </row>
    <row r="14" spans="1:22" ht="15.75" x14ac:dyDescent="0.25">
      <c r="B14" s="5">
        <v>7</v>
      </c>
      <c r="C14" s="6">
        <v>18.4589</v>
      </c>
      <c r="D14" s="6">
        <v>19.978100000000001</v>
      </c>
      <c r="E14" s="28"/>
      <c r="F14" s="28">
        <f>D14-C14</f>
        <v>1.5192000000000014</v>
      </c>
      <c r="G14" s="28"/>
      <c r="H14" s="28"/>
      <c r="J14" s="13">
        <v>7</v>
      </c>
      <c r="K14" s="19">
        <v>2.7906000000000004</v>
      </c>
      <c r="L14" s="19">
        <v>3.1984000000000004</v>
      </c>
      <c r="M14" s="41"/>
      <c r="N14" s="41">
        <f>L14-K14</f>
        <v>0.40779999999999994</v>
      </c>
      <c r="O14" s="41"/>
      <c r="Q14" s="13">
        <v>7</v>
      </c>
      <c r="R14" s="8">
        <v>3</v>
      </c>
      <c r="S14" s="19">
        <v>3.4365500000000009</v>
      </c>
      <c r="T14" s="41"/>
      <c r="U14" s="41">
        <f>S14-R14</f>
        <v>0.43655000000000088</v>
      </c>
      <c r="V14" s="41"/>
    </row>
    <row r="15" spans="1:22" ht="15.75" x14ac:dyDescent="0.25">
      <c r="B15" s="5">
        <v>14</v>
      </c>
      <c r="C15" s="6">
        <v>22.526500000000002</v>
      </c>
      <c r="D15" s="6">
        <v>24.09249999999999</v>
      </c>
      <c r="E15" s="28"/>
      <c r="F15" s="28">
        <f t="shared" ref="F15:F19" si="3">D15-C15</f>
        <v>1.5659999999999883</v>
      </c>
      <c r="G15" s="28"/>
      <c r="H15" s="28"/>
      <c r="J15" s="13">
        <v>14</v>
      </c>
      <c r="K15" s="19">
        <v>3.3100000000000009</v>
      </c>
      <c r="L15" s="19">
        <v>3.7980000000000005</v>
      </c>
      <c r="M15" s="41"/>
      <c r="N15" s="41">
        <f t="shared" ref="N15:N19" si="4">L15-K15</f>
        <v>0.48799999999999955</v>
      </c>
      <c r="O15" s="41"/>
      <c r="Q15" s="13">
        <v>14</v>
      </c>
      <c r="R15" s="8">
        <v>3.52</v>
      </c>
      <c r="S15" s="19">
        <v>3.49655</v>
      </c>
      <c r="T15" s="41"/>
      <c r="U15" s="41">
        <f t="shared" ref="U15:U19" si="5">S15-R15</f>
        <v>-2.3449999999999971E-2</v>
      </c>
      <c r="V15" s="41"/>
    </row>
    <row r="16" spans="1:22" ht="15.75" x14ac:dyDescent="0.25">
      <c r="B16" s="5">
        <v>21</v>
      </c>
      <c r="C16" s="6">
        <v>24.972199999999994</v>
      </c>
      <c r="D16" s="6">
        <v>27.009699999999988</v>
      </c>
      <c r="E16" s="28"/>
      <c r="F16" s="28">
        <f t="shared" si="3"/>
        <v>2.0374999999999943</v>
      </c>
      <c r="G16" s="28"/>
      <c r="H16" s="28"/>
      <c r="J16" s="13">
        <v>21</v>
      </c>
      <c r="K16" s="19">
        <v>3.7330000000000014</v>
      </c>
      <c r="L16" s="19">
        <v>4.3153000000000006</v>
      </c>
      <c r="M16" s="41"/>
      <c r="N16" s="41">
        <f t="shared" si="4"/>
        <v>0.58229999999999915</v>
      </c>
      <c r="O16" s="41"/>
      <c r="Q16" s="13">
        <v>21</v>
      </c>
      <c r="R16" s="8">
        <v>3.85</v>
      </c>
      <c r="S16" s="19">
        <v>3.4803500000000036</v>
      </c>
      <c r="T16" s="41"/>
      <c r="U16" s="41">
        <f t="shared" si="5"/>
        <v>-0.36964999999999648</v>
      </c>
      <c r="V16" s="41"/>
    </row>
    <row r="17" spans="1:22" ht="15.75" x14ac:dyDescent="0.25">
      <c r="B17" s="5">
        <v>28</v>
      </c>
      <c r="C17" s="6">
        <v>26.944400000000005</v>
      </c>
      <c r="D17" s="6">
        <v>30.141600000000004</v>
      </c>
      <c r="E17" s="28"/>
      <c r="F17" s="28">
        <f t="shared" si="3"/>
        <v>3.1971999999999987</v>
      </c>
      <c r="G17" s="28"/>
      <c r="H17" s="28"/>
      <c r="J17" s="13">
        <v>28</v>
      </c>
      <c r="K17" s="19">
        <v>4.0292999999999992</v>
      </c>
      <c r="L17" s="19">
        <v>4.8072000000000008</v>
      </c>
      <c r="M17" s="41"/>
      <c r="N17" s="41">
        <f t="shared" si="4"/>
        <v>0.77790000000000159</v>
      </c>
      <c r="O17" s="41"/>
      <c r="Q17" s="13">
        <v>28</v>
      </c>
      <c r="R17" s="8">
        <v>4.25</v>
      </c>
      <c r="S17" s="25">
        <v>5.1705999999999985</v>
      </c>
      <c r="T17" s="38"/>
      <c r="U17" s="41">
        <f t="shared" si="5"/>
        <v>0.92059999999999853</v>
      </c>
      <c r="V17" s="38"/>
    </row>
    <row r="18" spans="1:22" ht="15.75" x14ac:dyDescent="0.25">
      <c r="B18" s="5">
        <v>56</v>
      </c>
      <c r="C18" s="6">
        <v>29.071399999999997</v>
      </c>
      <c r="D18" s="6">
        <v>32.703499999999991</v>
      </c>
      <c r="E18" s="28"/>
      <c r="F18" s="28">
        <f t="shared" si="3"/>
        <v>3.6320999999999941</v>
      </c>
      <c r="G18" s="28"/>
      <c r="H18" s="28"/>
      <c r="J18" s="13">
        <v>56</v>
      </c>
      <c r="K18" s="19">
        <v>4.296599999999998</v>
      </c>
      <c r="L18" s="19">
        <v>5.1774000000000004</v>
      </c>
      <c r="M18" s="41"/>
      <c r="N18" s="41">
        <f t="shared" si="4"/>
        <v>0.88080000000000247</v>
      </c>
      <c r="O18" s="41"/>
      <c r="Q18" s="13">
        <v>56</v>
      </c>
      <c r="R18" s="8">
        <v>4.8</v>
      </c>
      <c r="S18" s="25">
        <v>5.4198999999999975</v>
      </c>
      <c r="T18" s="38"/>
      <c r="U18" s="41">
        <f t="shared" si="5"/>
        <v>0.61989999999999768</v>
      </c>
      <c r="V18" s="38"/>
    </row>
    <row r="19" spans="1:22" ht="15.75" x14ac:dyDescent="0.25">
      <c r="B19" s="5">
        <v>90</v>
      </c>
      <c r="C19" s="6">
        <v>30.846399999999999</v>
      </c>
      <c r="D19" s="6">
        <v>34.9099</v>
      </c>
      <c r="E19" s="28"/>
      <c r="F19" s="28">
        <f t="shared" si="3"/>
        <v>4.0635000000000012</v>
      </c>
      <c r="G19" s="28"/>
      <c r="H19" s="28"/>
      <c r="J19" s="13">
        <v>90</v>
      </c>
      <c r="K19" s="19">
        <v>4.6201000000000008</v>
      </c>
      <c r="L19" s="19">
        <v>5.6033000000000008</v>
      </c>
      <c r="M19" s="41"/>
      <c r="N19" s="41">
        <f t="shared" si="4"/>
        <v>0.98320000000000007</v>
      </c>
      <c r="O19" s="41"/>
      <c r="Q19" s="13">
        <v>90</v>
      </c>
      <c r="R19" s="8">
        <v>5.0999999999999996</v>
      </c>
      <c r="S19" s="25">
        <v>5.5887999999999929</v>
      </c>
      <c r="T19" s="38"/>
      <c r="U19" s="41">
        <f t="shared" si="5"/>
        <v>0.48879999999999324</v>
      </c>
      <c r="V19" s="38"/>
    </row>
    <row r="20" spans="1:22" x14ac:dyDescent="0.25">
      <c r="B20" s="16"/>
      <c r="F20" s="3">
        <f>SUM(F14:F19)</f>
        <v>16.015499999999978</v>
      </c>
      <c r="N20" s="3">
        <f>SUM(N14:N19)</f>
        <v>4.1200000000000028</v>
      </c>
      <c r="U20" s="3">
        <f>SUM(U14:U19)</f>
        <v>2.0727499999999939</v>
      </c>
    </row>
    <row r="24" spans="1:22" ht="45" x14ac:dyDescent="0.25">
      <c r="A24">
        <v>5</v>
      </c>
      <c r="B24" s="7" t="s">
        <v>11</v>
      </c>
      <c r="C24" s="15" t="s">
        <v>34</v>
      </c>
      <c r="D24" s="9" t="s">
        <v>35</v>
      </c>
      <c r="E24" s="34"/>
      <c r="F24" s="34"/>
      <c r="G24" s="34"/>
      <c r="H24" s="34"/>
      <c r="J24" s="13" t="s">
        <v>11</v>
      </c>
      <c r="K24" s="14" t="s">
        <v>6</v>
      </c>
      <c r="L24" s="14" t="s">
        <v>30</v>
      </c>
      <c r="M24" s="39"/>
      <c r="N24" s="39"/>
      <c r="O24" s="39"/>
      <c r="Q24" s="13" t="s">
        <v>11</v>
      </c>
      <c r="R24" s="14" t="s">
        <v>6</v>
      </c>
      <c r="S24" s="14" t="s">
        <v>30</v>
      </c>
      <c r="T24" s="39"/>
      <c r="U24" s="39"/>
      <c r="V24" s="39"/>
    </row>
    <row r="25" spans="1:22" ht="15.75" x14ac:dyDescent="0.25">
      <c r="B25" s="5">
        <v>7</v>
      </c>
      <c r="C25" s="6">
        <v>18.899999999999999</v>
      </c>
      <c r="D25" s="6">
        <v>20.997399999999999</v>
      </c>
      <c r="E25" s="28"/>
      <c r="F25" s="28">
        <f>D25-C25</f>
        <v>2.0974000000000004</v>
      </c>
      <c r="G25" s="28"/>
      <c r="H25" s="28"/>
      <c r="J25" s="13">
        <v>7</v>
      </c>
      <c r="K25" s="19">
        <v>2.7906000000000004</v>
      </c>
      <c r="L25" s="19">
        <v>3.1984000000000004</v>
      </c>
      <c r="M25" s="41"/>
      <c r="N25" s="41">
        <f>L25-K25</f>
        <v>0.40779999999999994</v>
      </c>
      <c r="O25" s="41"/>
      <c r="Q25" s="13">
        <v>7</v>
      </c>
      <c r="R25" s="18">
        <v>3.45</v>
      </c>
      <c r="S25" s="18">
        <v>3.8865500000000006</v>
      </c>
      <c r="T25" s="29"/>
      <c r="U25" s="29">
        <f>S25-R25</f>
        <v>0.43655000000000044</v>
      </c>
      <c r="V25" s="29"/>
    </row>
    <row r="26" spans="1:22" ht="15.75" x14ac:dyDescent="0.25">
      <c r="B26" s="5">
        <v>14</v>
      </c>
      <c r="C26" s="6">
        <v>23.22</v>
      </c>
      <c r="D26" s="6">
        <v>25.545500000000008</v>
      </c>
      <c r="E26" s="28"/>
      <c r="F26" s="28">
        <f t="shared" ref="F26:F30" si="6">D26-C26</f>
        <v>2.3255000000000088</v>
      </c>
      <c r="G26" s="28"/>
      <c r="H26" s="28"/>
      <c r="J26" s="13">
        <v>14</v>
      </c>
      <c r="K26" s="19">
        <v>3.3100000000000009</v>
      </c>
      <c r="L26" s="19">
        <v>3.7980000000000005</v>
      </c>
      <c r="M26" s="41"/>
      <c r="N26" s="41">
        <f t="shared" ref="N26:N30" si="7">L26-K26</f>
        <v>0.48799999999999955</v>
      </c>
      <c r="O26" s="41"/>
      <c r="Q26" s="13">
        <v>14</v>
      </c>
      <c r="R26" s="18">
        <v>4.048</v>
      </c>
      <c r="S26" s="18">
        <v>4.0245499999999996</v>
      </c>
      <c r="T26" s="29"/>
      <c r="U26" s="29">
        <f t="shared" ref="U26:U30" si="8">S26-R26</f>
        <v>-2.3450000000000415E-2</v>
      </c>
      <c r="V26" s="29"/>
    </row>
    <row r="27" spans="1:22" ht="15.75" x14ac:dyDescent="0.25">
      <c r="B27" s="5">
        <v>21</v>
      </c>
      <c r="C27" s="6">
        <v>25.4</v>
      </c>
      <c r="D27" s="6">
        <v>28.585599999999999</v>
      </c>
      <c r="E27" s="28"/>
      <c r="F27" s="28">
        <f t="shared" si="6"/>
        <v>3.1856000000000009</v>
      </c>
      <c r="G27" s="28"/>
      <c r="H27" s="28"/>
      <c r="J27" s="13">
        <v>21</v>
      </c>
      <c r="K27" s="19">
        <v>3.7330000000000014</v>
      </c>
      <c r="L27" s="19">
        <v>4.3153000000000006</v>
      </c>
      <c r="M27" s="41"/>
      <c r="N27" s="41">
        <f t="shared" si="7"/>
        <v>0.58229999999999915</v>
      </c>
      <c r="O27" s="41"/>
      <c r="Q27" s="13">
        <v>21</v>
      </c>
      <c r="R27" s="18">
        <v>4.4275000000000002</v>
      </c>
      <c r="S27" s="18">
        <v>4.0578500000000037</v>
      </c>
      <c r="T27" s="29"/>
      <c r="U27" s="29">
        <f t="shared" si="8"/>
        <v>-0.36964999999999648</v>
      </c>
      <c r="V27" s="29"/>
    </row>
    <row r="28" spans="1:22" ht="15.75" x14ac:dyDescent="0.25">
      <c r="B28" s="5">
        <v>28</v>
      </c>
      <c r="C28" s="6">
        <v>27.073499999999996</v>
      </c>
      <c r="D28" s="6">
        <v>31.520100000000003</v>
      </c>
      <c r="E28" s="28"/>
      <c r="F28" s="28">
        <f t="shared" si="6"/>
        <v>4.4466000000000072</v>
      </c>
      <c r="G28" s="28"/>
      <c r="H28" s="28"/>
      <c r="J28" s="13">
        <v>28</v>
      </c>
      <c r="K28" s="19">
        <v>4.0292999999999992</v>
      </c>
      <c r="L28" s="19">
        <v>4.8072000000000008</v>
      </c>
      <c r="M28" s="41"/>
      <c r="N28" s="41">
        <f t="shared" si="7"/>
        <v>0.77790000000000159</v>
      </c>
      <c r="O28" s="41"/>
      <c r="Q28" s="13">
        <v>28</v>
      </c>
      <c r="R28" s="18">
        <v>4.8875000000000002</v>
      </c>
      <c r="S28" s="18">
        <v>5.8080999999999987</v>
      </c>
      <c r="T28" s="29"/>
      <c r="U28" s="29">
        <f t="shared" si="8"/>
        <v>0.92059999999999853</v>
      </c>
      <c r="V28" s="29"/>
    </row>
    <row r="29" spans="1:22" ht="15.75" x14ac:dyDescent="0.25">
      <c r="B29" s="5">
        <v>56</v>
      </c>
      <c r="C29" s="6">
        <v>29.9</v>
      </c>
      <c r="D29" s="6">
        <v>34.106299999999983</v>
      </c>
      <c r="E29" s="28"/>
      <c r="F29" s="28">
        <f t="shared" si="6"/>
        <v>4.2062999999999846</v>
      </c>
      <c r="G29" s="28"/>
      <c r="H29" s="28"/>
      <c r="J29" s="13">
        <v>56</v>
      </c>
      <c r="K29" s="19">
        <v>4.296599999999998</v>
      </c>
      <c r="L29" s="19">
        <v>5.1774000000000004</v>
      </c>
      <c r="M29" s="41"/>
      <c r="N29" s="41">
        <f t="shared" si="7"/>
        <v>0.88080000000000247</v>
      </c>
      <c r="O29" s="41"/>
      <c r="Q29" s="13">
        <v>56</v>
      </c>
      <c r="R29" s="18">
        <v>5.52</v>
      </c>
      <c r="S29" s="18">
        <v>6.1398999999999972</v>
      </c>
      <c r="T29" s="29"/>
      <c r="U29" s="29">
        <f t="shared" si="8"/>
        <v>0.61989999999999768</v>
      </c>
      <c r="V29" s="29"/>
    </row>
    <row r="30" spans="1:22" ht="15.75" x14ac:dyDescent="0.25">
      <c r="B30" s="5">
        <v>90</v>
      </c>
      <c r="C30" s="6">
        <v>31.994800000000001</v>
      </c>
      <c r="D30" s="6">
        <v>36.661100000000005</v>
      </c>
      <c r="E30" s="28"/>
      <c r="F30" s="28">
        <f t="shared" si="6"/>
        <v>4.6663000000000032</v>
      </c>
      <c r="G30" s="28"/>
      <c r="H30" s="28"/>
      <c r="I30" s="3">
        <f>D30-C30</f>
        <v>4.6663000000000032</v>
      </c>
      <c r="J30" s="13">
        <v>90</v>
      </c>
      <c r="K30" s="19">
        <v>4.6201000000000008</v>
      </c>
      <c r="L30" s="19">
        <v>5.6033000000000008</v>
      </c>
      <c r="M30" s="41"/>
      <c r="N30" s="41">
        <f t="shared" si="7"/>
        <v>0.98320000000000007</v>
      </c>
      <c r="O30" s="41"/>
      <c r="Q30" s="13">
        <v>90</v>
      </c>
      <c r="R30" s="18">
        <v>5.8649999999999993</v>
      </c>
      <c r="S30" s="18">
        <v>6.3537999999999926</v>
      </c>
      <c r="T30" s="29"/>
      <c r="U30" s="29">
        <f t="shared" si="8"/>
        <v>0.48879999999999324</v>
      </c>
      <c r="V30" s="29"/>
    </row>
    <row r="31" spans="1:22" x14ac:dyDescent="0.25">
      <c r="F31" s="3">
        <f>SUM(F25:F30)</f>
        <v>20.927700000000005</v>
      </c>
      <c r="N31" s="3">
        <f>SUM(N25:N30)</f>
        <v>4.1200000000000028</v>
      </c>
      <c r="U31" s="3">
        <f>SUM(U25:U30)</f>
        <v>2.072749999999993</v>
      </c>
    </row>
    <row r="32" spans="1:22" s="21" customFormat="1" x14ac:dyDescent="0.25">
      <c r="A32" s="22"/>
      <c r="B32" s="22"/>
      <c r="C32" s="22" t="s">
        <v>31</v>
      </c>
      <c r="D32" s="22"/>
      <c r="E32" s="22"/>
      <c r="F32" s="22"/>
      <c r="G32" s="22"/>
      <c r="H32" s="22"/>
      <c r="I32" s="22"/>
      <c r="J32" s="22"/>
      <c r="K32" s="22" t="s">
        <v>32</v>
      </c>
      <c r="L32" s="22"/>
      <c r="M32" s="22"/>
      <c r="N32" s="22"/>
      <c r="O32" s="22"/>
      <c r="P32" s="22"/>
      <c r="Q32" s="22"/>
      <c r="R32" s="22" t="s">
        <v>33</v>
      </c>
      <c r="S32" s="22"/>
      <c r="T32" s="22"/>
      <c r="U32" s="22"/>
      <c r="V32" s="22"/>
    </row>
    <row r="33" spans="1:22" ht="47.25" x14ac:dyDescent="0.25">
      <c r="A33" t="s">
        <v>27</v>
      </c>
      <c r="B33" s="44" t="s">
        <v>11</v>
      </c>
      <c r="C33" s="45" t="s">
        <v>46</v>
      </c>
      <c r="D33" s="45" t="s">
        <v>47</v>
      </c>
      <c r="E33" s="35"/>
      <c r="F33" s="35"/>
      <c r="G33" s="35"/>
      <c r="H33" s="35"/>
      <c r="J33" s="44" t="s">
        <v>11</v>
      </c>
      <c r="K33" s="45" t="s">
        <v>46</v>
      </c>
      <c r="L33" s="45" t="s">
        <v>47</v>
      </c>
      <c r="M33" s="33"/>
      <c r="N33" s="33"/>
      <c r="O33" s="33"/>
      <c r="Q33" s="44" t="s">
        <v>11</v>
      </c>
      <c r="R33" s="45" t="s">
        <v>46</v>
      </c>
      <c r="S33" s="45" t="s">
        <v>47</v>
      </c>
      <c r="T33" s="42"/>
      <c r="U33" s="42"/>
      <c r="V33" s="42"/>
    </row>
    <row r="34" spans="1:22" ht="15.75" x14ac:dyDescent="0.25">
      <c r="B34" s="30">
        <v>7</v>
      </c>
      <c r="C34" s="31">
        <f>C25-0.92</f>
        <v>17.979999999999997</v>
      </c>
      <c r="D34" s="31">
        <f>D25-0.65</f>
        <v>20.3474</v>
      </c>
      <c r="E34" s="36"/>
      <c r="F34" s="36">
        <f>D34-C34</f>
        <v>2.3674000000000035</v>
      </c>
      <c r="G34" s="36"/>
      <c r="H34" s="36"/>
      <c r="J34" s="30">
        <v>7</v>
      </c>
      <c r="K34" s="31">
        <f>K25-0.5</f>
        <v>2.2906000000000004</v>
      </c>
      <c r="L34" s="31">
        <f>L25-0.62</f>
        <v>2.5784000000000002</v>
      </c>
      <c r="M34" s="29"/>
      <c r="N34" s="29">
        <f>L34-K34</f>
        <v>0.28779999999999983</v>
      </c>
      <c r="O34" s="29"/>
      <c r="Q34" s="30">
        <v>7</v>
      </c>
      <c r="R34" s="31">
        <f>R25-0.5</f>
        <v>2.95</v>
      </c>
      <c r="S34" s="31">
        <f>S25-0.5</f>
        <v>3.3865500000000006</v>
      </c>
      <c r="T34" s="43"/>
      <c r="U34" s="43">
        <f>S34-R34</f>
        <v>0.43655000000000044</v>
      </c>
      <c r="V34" s="43"/>
    </row>
    <row r="35" spans="1:22" ht="15.75" x14ac:dyDescent="0.25">
      <c r="B35" s="30">
        <v>14</v>
      </c>
      <c r="C35" s="31">
        <f t="shared" ref="C35:C39" si="9">C26-0.92</f>
        <v>22.299999999999997</v>
      </c>
      <c r="D35" s="31">
        <f t="shared" ref="D35:D39" si="10">D26-0.65</f>
        <v>24.895500000000009</v>
      </c>
      <c r="E35" s="36"/>
      <c r="F35" s="36">
        <f t="shared" ref="F35:F39" si="11">D35-C35</f>
        <v>2.5955000000000119</v>
      </c>
      <c r="G35" s="36"/>
      <c r="H35" s="36"/>
      <c r="J35" s="30">
        <v>14</v>
      </c>
      <c r="K35" s="31">
        <f t="shared" ref="K35:K39" si="12">K26-0.5</f>
        <v>2.8100000000000009</v>
      </c>
      <c r="L35" s="31">
        <f t="shared" ref="L35:L39" si="13">L26-0.62</f>
        <v>3.1780000000000004</v>
      </c>
      <c r="M35" s="29"/>
      <c r="N35" s="29">
        <f t="shared" ref="N35:N39" si="14">L35-K35</f>
        <v>0.36799999999999944</v>
      </c>
      <c r="O35" s="29"/>
      <c r="Q35" s="30">
        <v>14</v>
      </c>
      <c r="R35" s="31">
        <f t="shared" ref="R35:S35" si="15">R26-0.5</f>
        <v>3.548</v>
      </c>
      <c r="S35" s="31">
        <f t="shared" si="15"/>
        <v>3.5245499999999996</v>
      </c>
      <c r="T35" s="43"/>
      <c r="U35" s="43">
        <f t="shared" ref="U35:U39" si="16">S35-R35</f>
        <v>-2.3450000000000415E-2</v>
      </c>
      <c r="V35" s="43"/>
    </row>
    <row r="36" spans="1:22" ht="15.75" x14ac:dyDescent="0.25">
      <c r="B36" s="30">
        <v>21</v>
      </c>
      <c r="C36" s="31">
        <f t="shared" si="9"/>
        <v>24.479999999999997</v>
      </c>
      <c r="D36" s="31">
        <f t="shared" si="10"/>
        <v>27.935600000000001</v>
      </c>
      <c r="E36" s="36"/>
      <c r="F36" s="36">
        <f t="shared" si="11"/>
        <v>3.455600000000004</v>
      </c>
      <c r="G36" s="36"/>
      <c r="H36" s="36"/>
      <c r="J36" s="30">
        <v>21</v>
      </c>
      <c r="K36" s="31">
        <f t="shared" si="12"/>
        <v>3.2330000000000014</v>
      </c>
      <c r="L36" s="31">
        <f t="shared" si="13"/>
        <v>3.6953000000000005</v>
      </c>
      <c r="M36" s="29"/>
      <c r="N36" s="29">
        <f t="shared" si="14"/>
        <v>0.46229999999999905</v>
      </c>
      <c r="O36" s="29"/>
      <c r="Q36" s="30">
        <v>21</v>
      </c>
      <c r="R36" s="31">
        <f t="shared" ref="R36:S36" si="17">R27-0.5</f>
        <v>3.9275000000000002</v>
      </c>
      <c r="S36" s="31">
        <f t="shared" si="17"/>
        <v>3.5578500000000037</v>
      </c>
      <c r="T36" s="43"/>
      <c r="U36" s="43">
        <f t="shared" si="16"/>
        <v>-0.36964999999999648</v>
      </c>
      <c r="V36" s="43"/>
    </row>
    <row r="37" spans="1:22" ht="15.75" x14ac:dyDescent="0.25">
      <c r="B37" s="30">
        <v>28</v>
      </c>
      <c r="C37" s="31">
        <f t="shared" si="9"/>
        <v>26.153499999999994</v>
      </c>
      <c r="D37" s="31">
        <f t="shared" si="10"/>
        <v>30.870100000000004</v>
      </c>
      <c r="E37" s="36"/>
      <c r="F37" s="36">
        <f t="shared" si="11"/>
        <v>4.7166000000000103</v>
      </c>
      <c r="G37" s="36"/>
      <c r="H37" s="36"/>
      <c r="J37" s="30">
        <v>28</v>
      </c>
      <c r="K37" s="31">
        <f t="shared" si="12"/>
        <v>3.5292999999999992</v>
      </c>
      <c r="L37" s="31">
        <f t="shared" si="13"/>
        <v>4.1872000000000007</v>
      </c>
      <c r="M37" s="29"/>
      <c r="N37" s="29">
        <f t="shared" si="14"/>
        <v>0.65790000000000148</v>
      </c>
      <c r="O37" s="29"/>
      <c r="Q37" s="30">
        <v>28</v>
      </c>
      <c r="R37" s="31">
        <f t="shared" ref="R37:S37" si="18">R28-0.5</f>
        <v>4.3875000000000002</v>
      </c>
      <c r="S37" s="31">
        <f t="shared" si="18"/>
        <v>5.3080999999999987</v>
      </c>
      <c r="T37" s="43"/>
      <c r="U37" s="43">
        <f t="shared" si="16"/>
        <v>0.92059999999999853</v>
      </c>
      <c r="V37" s="43"/>
    </row>
    <row r="38" spans="1:22" ht="15.75" x14ac:dyDescent="0.25">
      <c r="B38" s="30">
        <v>56</v>
      </c>
      <c r="C38" s="31">
        <f t="shared" si="9"/>
        <v>28.979999999999997</v>
      </c>
      <c r="D38" s="31">
        <f t="shared" si="10"/>
        <v>33.456299999999985</v>
      </c>
      <c r="E38" s="36"/>
      <c r="F38" s="36">
        <f t="shared" si="11"/>
        <v>4.4762999999999877</v>
      </c>
      <c r="G38" s="36"/>
      <c r="H38" s="36"/>
      <c r="J38" s="30">
        <v>56</v>
      </c>
      <c r="K38" s="31">
        <f t="shared" si="12"/>
        <v>3.796599999999998</v>
      </c>
      <c r="L38" s="31">
        <f t="shared" si="13"/>
        <v>4.5574000000000003</v>
      </c>
      <c r="M38" s="29"/>
      <c r="N38" s="29">
        <f t="shared" si="14"/>
        <v>0.76080000000000236</v>
      </c>
      <c r="O38" s="29"/>
      <c r="Q38" s="30">
        <v>56</v>
      </c>
      <c r="R38" s="31">
        <f t="shared" ref="R38:S38" si="19">R29-0.5</f>
        <v>5.0199999999999996</v>
      </c>
      <c r="S38" s="31">
        <f t="shared" si="19"/>
        <v>5.6398999999999972</v>
      </c>
      <c r="T38" s="43"/>
      <c r="U38" s="43">
        <f t="shared" si="16"/>
        <v>0.61989999999999768</v>
      </c>
      <c r="V38" s="43"/>
    </row>
    <row r="39" spans="1:22" ht="15.75" x14ac:dyDescent="0.25">
      <c r="B39" s="30">
        <v>90</v>
      </c>
      <c r="C39" s="31">
        <f t="shared" si="9"/>
        <v>31.0748</v>
      </c>
      <c r="D39" s="31">
        <f t="shared" si="10"/>
        <v>36.011100000000006</v>
      </c>
      <c r="E39" s="36"/>
      <c r="F39" s="36">
        <f t="shared" si="11"/>
        <v>4.9363000000000063</v>
      </c>
      <c r="G39" s="36"/>
      <c r="H39" s="36"/>
      <c r="J39" s="30">
        <v>90</v>
      </c>
      <c r="K39" s="31">
        <f t="shared" si="12"/>
        <v>4.1201000000000008</v>
      </c>
      <c r="L39" s="31">
        <f t="shared" si="13"/>
        <v>4.9833000000000007</v>
      </c>
      <c r="M39" s="29"/>
      <c r="N39" s="29">
        <f t="shared" si="14"/>
        <v>0.86319999999999997</v>
      </c>
      <c r="O39" s="29"/>
      <c r="Q39" s="30">
        <v>90</v>
      </c>
      <c r="R39" s="31">
        <f t="shared" ref="R39:S39" si="20">R30-0.5</f>
        <v>5.3649999999999993</v>
      </c>
      <c r="S39" s="31">
        <f t="shared" si="20"/>
        <v>5.8537999999999926</v>
      </c>
      <c r="T39" s="43"/>
      <c r="U39" s="43">
        <f t="shared" si="16"/>
        <v>0.48879999999999324</v>
      </c>
      <c r="V39" s="43"/>
    </row>
    <row r="40" spans="1:22" x14ac:dyDescent="0.25">
      <c r="F40" s="3">
        <f>SUM(F34:F39)</f>
        <v>22.547700000000024</v>
      </c>
      <c r="N40" s="3">
        <f>SUM(N34:N39)</f>
        <v>3.4000000000000021</v>
      </c>
      <c r="U40" s="3">
        <f>SUM(U34:U39)</f>
        <v>2.072749999999993</v>
      </c>
    </row>
    <row r="42" spans="1:22" x14ac:dyDescent="0.25">
      <c r="C42" t="s">
        <v>31</v>
      </c>
      <c r="K42" t="s">
        <v>32</v>
      </c>
      <c r="R42" t="s">
        <v>33</v>
      </c>
    </row>
    <row r="43" spans="1:22" ht="47.25" x14ac:dyDescent="0.25">
      <c r="A43">
        <v>7</v>
      </c>
      <c r="B43" s="44" t="s">
        <v>11</v>
      </c>
      <c r="C43" s="45" t="s">
        <v>46</v>
      </c>
      <c r="D43" s="45" t="s">
        <v>47</v>
      </c>
      <c r="E43" s="37"/>
      <c r="F43" s="37"/>
      <c r="G43" s="37"/>
      <c r="H43" s="37"/>
      <c r="J43" s="44" t="s">
        <v>11</v>
      </c>
      <c r="K43" s="45" t="s">
        <v>46</v>
      </c>
      <c r="L43" s="45" t="s">
        <v>47</v>
      </c>
      <c r="M43" s="33"/>
      <c r="N43" s="33"/>
      <c r="O43" s="33"/>
      <c r="Q43" s="44" t="s">
        <v>11</v>
      </c>
      <c r="R43" s="45" t="s">
        <v>46</v>
      </c>
      <c r="S43" s="45" t="s">
        <v>47</v>
      </c>
      <c r="T43" s="39"/>
      <c r="U43" s="39"/>
      <c r="V43" s="39"/>
    </row>
    <row r="44" spans="1:22" ht="15.75" x14ac:dyDescent="0.25">
      <c r="B44" s="30">
        <v>7</v>
      </c>
      <c r="C44" s="31">
        <f>C34-0.6</f>
        <v>17.379999999999995</v>
      </c>
      <c r="D44" s="31">
        <f>D34-0.7</f>
        <v>19.647400000000001</v>
      </c>
      <c r="E44" s="38"/>
      <c r="F44" s="38">
        <f>D44-C44</f>
        <v>2.2674000000000056</v>
      </c>
      <c r="G44" s="38"/>
      <c r="H44" s="38"/>
      <c r="J44" s="30">
        <v>7</v>
      </c>
      <c r="K44" s="31">
        <f>K34-0.6</f>
        <v>1.6906000000000003</v>
      </c>
      <c r="L44" s="31">
        <f>L34-0.7</f>
        <v>1.8784000000000003</v>
      </c>
      <c r="M44" s="29"/>
      <c r="N44" s="29">
        <f>L44-K44</f>
        <v>0.18779999999999997</v>
      </c>
      <c r="O44" s="29"/>
      <c r="Q44" s="30">
        <v>7</v>
      </c>
      <c r="R44" s="31">
        <f>R34-0.6</f>
        <v>2.35</v>
      </c>
      <c r="S44" s="31">
        <f>S34-0.7</f>
        <v>2.6865500000000004</v>
      </c>
      <c r="T44" s="29"/>
      <c r="U44" s="29">
        <f>S44-R44</f>
        <v>0.33655000000000035</v>
      </c>
      <c r="V44" s="29"/>
    </row>
    <row r="45" spans="1:22" ht="15.75" x14ac:dyDescent="0.25">
      <c r="B45" s="30">
        <v>14</v>
      </c>
      <c r="C45" s="31">
        <f t="shared" ref="C45:C49" si="21">C35-0.6</f>
        <v>21.699999999999996</v>
      </c>
      <c r="D45" s="31">
        <f t="shared" ref="D45:D49" si="22">D35-0.7</f>
        <v>24.19550000000001</v>
      </c>
      <c r="E45" s="38"/>
      <c r="F45" s="38">
        <f t="shared" ref="F45:F49" si="23">D45-C45</f>
        <v>2.495500000000014</v>
      </c>
      <c r="G45" s="38"/>
      <c r="H45" s="38"/>
      <c r="J45" s="30">
        <v>14</v>
      </c>
      <c r="K45" s="31">
        <f t="shared" ref="K45:K49" si="24">K35-0.6</f>
        <v>2.2100000000000009</v>
      </c>
      <c r="L45" s="31">
        <f t="shared" ref="L45:L49" si="25">L35-0.7</f>
        <v>2.4780000000000006</v>
      </c>
      <c r="M45" s="29"/>
      <c r="N45" s="29">
        <f t="shared" ref="N45:N49" si="26">L45-K45</f>
        <v>0.26799999999999979</v>
      </c>
      <c r="O45" s="29"/>
      <c r="Q45" s="30">
        <v>14</v>
      </c>
      <c r="R45" s="31">
        <f t="shared" ref="R45:R49" si="27">R35-0.6</f>
        <v>2.948</v>
      </c>
      <c r="S45" s="31">
        <f t="shared" ref="S45:S49" si="28">S35-0.7</f>
        <v>2.8245499999999995</v>
      </c>
      <c r="T45" s="29"/>
      <c r="U45" s="29">
        <f t="shared" ref="U45:U48" si="29">S45-R45</f>
        <v>-0.1234500000000005</v>
      </c>
      <c r="V45" s="29"/>
    </row>
    <row r="46" spans="1:22" ht="15.75" x14ac:dyDescent="0.25">
      <c r="B46" s="30">
        <v>21</v>
      </c>
      <c r="C46" s="31">
        <f t="shared" si="21"/>
        <v>23.879999999999995</v>
      </c>
      <c r="D46" s="31">
        <f t="shared" si="22"/>
        <v>27.235600000000002</v>
      </c>
      <c r="E46" s="38"/>
      <c r="F46" s="38">
        <f t="shared" si="23"/>
        <v>3.3556000000000061</v>
      </c>
      <c r="G46" s="38"/>
      <c r="H46" s="38"/>
      <c r="J46" s="30">
        <v>21</v>
      </c>
      <c r="K46" s="31">
        <f t="shared" si="24"/>
        <v>2.6330000000000013</v>
      </c>
      <c r="L46" s="31">
        <f t="shared" si="25"/>
        <v>2.9953000000000003</v>
      </c>
      <c r="M46" s="29"/>
      <c r="N46" s="29">
        <f t="shared" si="26"/>
        <v>0.36229999999999896</v>
      </c>
      <c r="O46" s="29"/>
      <c r="Q46" s="30">
        <v>21</v>
      </c>
      <c r="R46" s="31">
        <f t="shared" si="27"/>
        <v>3.3275000000000001</v>
      </c>
      <c r="S46" s="31">
        <f t="shared" si="28"/>
        <v>2.8578500000000036</v>
      </c>
      <c r="T46" s="29"/>
      <c r="U46" s="29">
        <f t="shared" si="29"/>
        <v>-0.46964999999999657</v>
      </c>
      <c r="V46" s="29"/>
    </row>
    <row r="47" spans="1:22" ht="15.75" x14ac:dyDescent="0.25">
      <c r="B47" s="30">
        <v>28</v>
      </c>
      <c r="C47" s="31">
        <f t="shared" si="21"/>
        <v>25.553499999999993</v>
      </c>
      <c r="D47" s="31">
        <f t="shared" si="22"/>
        <v>30.170100000000005</v>
      </c>
      <c r="E47" s="38"/>
      <c r="F47" s="38">
        <f t="shared" si="23"/>
        <v>4.6166000000000125</v>
      </c>
      <c r="G47" s="38"/>
      <c r="H47" s="38"/>
      <c r="J47" s="30">
        <v>28</v>
      </c>
      <c r="K47" s="31">
        <f t="shared" si="24"/>
        <v>2.9292999999999991</v>
      </c>
      <c r="L47" s="31">
        <f t="shared" si="25"/>
        <v>3.4872000000000005</v>
      </c>
      <c r="M47" s="29"/>
      <c r="N47" s="29">
        <f t="shared" si="26"/>
        <v>0.55790000000000139</v>
      </c>
      <c r="O47" s="29"/>
      <c r="Q47" s="30">
        <v>28</v>
      </c>
      <c r="R47" s="31">
        <f t="shared" si="27"/>
        <v>3.7875000000000001</v>
      </c>
      <c r="S47" s="31">
        <f t="shared" si="28"/>
        <v>4.6080999999999985</v>
      </c>
      <c r="T47" s="29"/>
      <c r="U47" s="29">
        <f t="shared" si="29"/>
        <v>0.82059999999999844</v>
      </c>
      <c r="V47" s="29"/>
    </row>
    <row r="48" spans="1:22" ht="15.75" x14ac:dyDescent="0.25">
      <c r="B48" s="30">
        <v>56</v>
      </c>
      <c r="C48" s="31">
        <f t="shared" si="21"/>
        <v>28.379999999999995</v>
      </c>
      <c r="D48" s="31">
        <f t="shared" si="22"/>
        <v>32.756299999999982</v>
      </c>
      <c r="E48" s="38"/>
      <c r="F48" s="38">
        <f t="shared" si="23"/>
        <v>4.3762999999999863</v>
      </c>
      <c r="G48" s="38"/>
      <c r="H48" s="38"/>
      <c r="J48" s="30">
        <v>56</v>
      </c>
      <c r="K48" s="31">
        <f t="shared" si="24"/>
        <v>3.1965999999999979</v>
      </c>
      <c r="L48" s="31">
        <f t="shared" si="25"/>
        <v>3.8574000000000002</v>
      </c>
      <c r="M48" s="29"/>
      <c r="N48" s="29">
        <f t="shared" si="26"/>
        <v>0.66080000000000227</v>
      </c>
      <c r="O48" s="29"/>
      <c r="Q48" s="30">
        <v>56</v>
      </c>
      <c r="R48" s="31">
        <f t="shared" si="27"/>
        <v>4.42</v>
      </c>
      <c r="S48" s="31">
        <f t="shared" si="28"/>
        <v>4.9398999999999971</v>
      </c>
      <c r="T48" s="29"/>
      <c r="U48" s="29">
        <f t="shared" si="29"/>
        <v>0.51989999999999714</v>
      </c>
      <c r="V48" s="29"/>
    </row>
    <row r="49" spans="1:22" ht="15.75" x14ac:dyDescent="0.25">
      <c r="B49" s="30">
        <v>90</v>
      </c>
      <c r="C49" s="31">
        <f t="shared" si="21"/>
        <v>30.474799999999998</v>
      </c>
      <c r="D49" s="31">
        <f t="shared" si="22"/>
        <v>35.311100000000003</v>
      </c>
      <c r="E49" s="38"/>
      <c r="F49" s="38">
        <f t="shared" si="23"/>
        <v>4.8363000000000049</v>
      </c>
      <c r="G49" s="38"/>
      <c r="H49" s="38"/>
      <c r="J49" s="30">
        <v>90</v>
      </c>
      <c r="K49" s="31">
        <f t="shared" si="24"/>
        <v>3.5201000000000007</v>
      </c>
      <c r="L49" s="31">
        <f t="shared" si="25"/>
        <v>4.2833000000000006</v>
      </c>
      <c r="M49" s="29"/>
      <c r="N49" s="29">
        <f t="shared" si="26"/>
        <v>0.76319999999999988</v>
      </c>
      <c r="O49" s="29"/>
      <c r="Q49" s="30">
        <v>90</v>
      </c>
      <c r="R49" s="31">
        <f t="shared" si="27"/>
        <v>4.7649999999999997</v>
      </c>
      <c r="S49" s="31">
        <f t="shared" si="28"/>
        <v>5.1537999999999924</v>
      </c>
      <c r="T49" s="29"/>
      <c r="U49" s="29">
        <f>S49-R49</f>
        <v>0.38879999999999271</v>
      </c>
      <c r="V49" s="29"/>
    </row>
    <row r="50" spans="1:22" x14ac:dyDescent="0.25">
      <c r="F50" s="3">
        <f>SUM(F44:F49)</f>
        <v>21.94770000000003</v>
      </c>
      <c r="N50" s="3">
        <f>SUM(N44:N49)</f>
        <v>2.800000000000002</v>
      </c>
      <c r="U50" s="3">
        <f>SUM(U44:U49)</f>
        <v>1.4727499999999916</v>
      </c>
    </row>
    <row r="52" spans="1:22" x14ac:dyDescent="0.25">
      <c r="B52" s="53" t="s">
        <v>31</v>
      </c>
      <c r="C52" s="53"/>
      <c r="D52" s="53"/>
      <c r="E52" s="32"/>
      <c r="F52" s="32"/>
      <c r="G52" s="32"/>
      <c r="H52" s="32"/>
      <c r="J52" s="53" t="s">
        <v>32</v>
      </c>
      <c r="K52" s="53"/>
      <c r="L52" s="53"/>
      <c r="M52" s="32"/>
      <c r="N52" s="32"/>
      <c r="O52" s="32"/>
      <c r="Q52" s="53" t="s">
        <v>33</v>
      </c>
      <c r="R52" s="53"/>
      <c r="S52" s="53"/>
      <c r="T52" s="32"/>
      <c r="U52" s="32"/>
      <c r="V52" s="32"/>
    </row>
    <row r="53" spans="1:22" ht="47.25" x14ac:dyDescent="0.25">
      <c r="A53">
        <v>8</v>
      </c>
      <c r="B53" s="44" t="s">
        <v>11</v>
      </c>
      <c r="C53" s="45" t="s">
        <v>46</v>
      </c>
      <c r="D53" s="45" t="s">
        <v>47</v>
      </c>
      <c r="E53" s="39"/>
      <c r="F53" s="39"/>
      <c r="G53" s="39"/>
      <c r="H53" s="39"/>
      <c r="J53" s="44" t="s">
        <v>11</v>
      </c>
      <c r="K53" s="45" t="s">
        <v>46</v>
      </c>
      <c r="L53" s="45" t="s">
        <v>47</v>
      </c>
      <c r="M53" s="39"/>
      <c r="N53" s="39"/>
      <c r="O53" s="39"/>
      <c r="Q53" s="44" t="s">
        <v>11</v>
      </c>
      <c r="R53" s="45" t="s">
        <v>46</v>
      </c>
      <c r="S53" s="45" t="s">
        <v>47</v>
      </c>
      <c r="T53" s="39"/>
      <c r="U53" s="39"/>
      <c r="V53" s="39"/>
    </row>
    <row r="54" spans="1:22" ht="15.75" x14ac:dyDescent="0.25">
      <c r="B54" s="30">
        <v>7</v>
      </c>
      <c r="C54" s="31">
        <f>C44-0.7</f>
        <v>16.679999999999996</v>
      </c>
      <c r="D54" s="31">
        <f>D44-0.5</f>
        <v>19.147400000000001</v>
      </c>
      <c r="E54" s="40"/>
      <c r="F54" s="40">
        <f>D54-C54</f>
        <v>2.4674000000000049</v>
      </c>
      <c r="G54" s="40"/>
      <c r="H54" s="40"/>
      <c r="J54" s="30">
        <v>7</v>
      </c>
      <c r="K54" s="31">
        <f>K44-0.4</f>
        <v>1.2906000000000004</v>
      </c>
      <c r="L54" s="31">
        <f>L44-0.6</f>
        <v>1.2784000000000004</v>
      </c>
      <c r="M54" s="40"/>
      <c r="N54" s="40">
        <f>L54-K54</f>
        <v>-1.2199999999999989E-2</v>
      </c>
      <c r="O54" s="40"/>
      <c r="Q54" s="30">
        <v>7</v>
      </c>
      <c r="R54" s="31">
        <f>R44-0.55</f>
        <v>1.8</v>
      </c>
      <c r="S54" s="31">
        <f>S44-0.62</f>
        <v>2.0665500000000003</v>
      </c>
      <c r="T54" s="40"/>
      <c r="U54" s="40">
        <f>S54-R54</f>
        <v>0.26655000000000029</v>
      </c>
      <c r="V54" s="40"/>
    </row>
    <row r="55" spans="1:22" ht="15.75" x14ac:dyDescent="0.25">
      <c r="B55" s="30">
        <v>14</v>
      </c>
      <c r="C55" s="31">
        <f t="shared" ref="C55:C59" si="30">C45-0.7</f>
        <v>20.999999999999996</v>
      </c>
      <c r="D55" s="31">
        <f t="shared" ref="D55:D59" si="31">D45-0.5</f>
        <v>23.69550000000001</v>
      </c>
      <c r="E55" s="40"/>
      <c r="F55" s="40">
        <f t="shared" ref="F55:F59" si="32">D55-C55</f>
        <v>2.6955000000000133</v>
      </c>
      <c r="G55" s="40"/>
      <c r="H55" s="40"/>
      <c r="J55" s="30">
        <v>14</v>
      </c>
      <c r="K55" s="31">
        <f t="shared" ref="K55:K59" si="33">K45-0.4</f>
        <v>1.8100000000000009</v>
      </c>
      <c r="L55" s="31">
        <f t="shared" ref="L55:L59" si="34">L45-0.6</f>
        <v>1.8780000000000006</v>
      </c>
      <c r="M55" s="40"/>
      <c r="N55" s="40">
        <f t="shared" ref="N55:N59" si="35">L55-K55</f>
        <v>6.7999999999999616E-2</v>
      </c>
      <c r="O55" s="40"/>
      <c r="Q55" s="30">
        <v>14</v>
      </c>
      <c r="R55" s="31">
        <f t="shared" ref="R55:R59" si="36">R45-0.55</f>
        <v>2.3979999999999997</v>
      </c>
      <c r="S55" s="31">
        <f t="shared" ref="S55:S59" si="37">S45-0.62</f>
        <v>2.2045499999999993</v>
      </c>
      <c r="T55" s="40"/>
      <c r="U55" s="40">
        <f t="shared" ref="U55:U59" si="38">S55-R55</f>
        <v>-0.19345000000000034</v>
      </c>
      <c r="V55" s="40"/>
    </row>
    <row r="56" spans="1:22" ht="15.75" x14ac:dyDescent="0.25">
      <c r="B56" s="30">
        <v>21</v>
      </c>
      <c r="C56" s="31">
        <f t="shared" si="30"/>
        <v>23.179999999999996</v>
      </c>
      <c r="D56" s="31">
        <f t="shared" si="31"/>
        <v>26.735600000000002</v>
      </c>
      <c r="E56" s="40"/>
      <c r="F56" s="40">
        <f t="shared" si="32"/>
        <v>3.5556000000000054</v>
      </c>
      <c r="G56" s="40"/>
      <c r="H56" s="40"/>
      <c r="J56" s="30">
        <v>21</v>
      </c>
      <c r="K56" s="31">
        <f t="shared" si="33"/>
        <v>2.2330000000000014</v>
      </c>
      <c r="L56" s="31">
        <f t="shared" si="34"/>
        <v>2.3953000000000002</v>
      </c>
      <c r="M56" s="40"/>
      <c r="N56" s="40">
        <f t="shared" si="35"/>
        <v>0.16229999999999878</v>
      </c>
      <c r="O56" s="40"/>
      <c r="Q56" s="30">
        <v>21</v>
      </c>
      <c r="R56" s="31">
        <f t="shared" si="36"/>
        <v>2.7774999999999999</v>
      </c>
      <c r="S56" s="31">
        <f t="shared" si="37"/>
        <v>2.2378500000000034</v>
      </c>
      <c r="T56" s="40"/>
      <c r="U56" s="40">
        <f t="shared" si="38"/>
        <v>-0.53964999999999641</v>
      </c>
      <c r="V56" s="40"/>
    </row>
    <row r="57" spans="1:22" ht="15.75" x14ac:dyDescent="0.25">
      <c r="B57" s="30">
        <v>28</v>
      </c>
      <c r="C57" s="31">
        <f t="shared" si="30"/>
        <v>24.853499999999993</v>
      </c>
      <c r="D57" s="31">
        <f t="shared" si="31"/>
        <v>29.670100000000005</v>
      </c>
      <c r="E57" s="40"/>
      <c r="F57" s="40">
        <f t="shared" si="32"/>
        <v>4.8166000000000118</v>
      </c>
      <c r="G57" s="40"/>
      <c r="H57" s="40"/>
      <c r="J57" s="30">
        <v>28</v>
      </c>
      <c r="K57" s="31">
        <f t="shared" si="33"/>
        <v>2.5292999999999992</v>
      </c>
      <c r="L57" s="31">
        <f t="shared" si="34"/>
        <v>2.8872000000000004</v>
      </c>
      <c r="M57" s="40"/>
      <c r="N57" s="40">
        <f t="shared" si="35"/>
        <v>0.35790000000000122</v>
      </c>
      <c r="O57" s="40"/>
      <c r="Q57" s="30">
        <v>28</v>
      </c>
      <c r="R57" s="31">
        <f t="shared" si="36"/>
        <v>3.2374999999999998</v>
      </c>
      <c r="S57" s="31">
        <f t="shared" si="37"/>
        <v>3.9880999999999984</v>
      </c>
      <c r="T57" s="40"/>
      <c r="U57" s="40">
        <f t="shared" si="38"/>
        <v>0.7505999999999986</v>
      </c>
      <c r="V57" s="40"/>
    </row>
    <row r="58" spans="1:22" ht="15.75" x14ac:dyDescent="0.25">
      <c r="B58" s="30">
        <v>56</v>
      </c>
      <c r="C58" s="31">
        <f t="shared" si="30"/>
        <v>27.679999999999996</v>
      </c>
      <c r="D58" s="31">
        <f t="shared" si="31"/>
        <v>32.256299999999982</v>
      </c>
      <c r="E58" s="40"/>
      <c r="F58" s="40">
        <f t="shared" si="32"/>
        <v>4.5762999999999856</v>
      </c>
      <c r="G58" s="40"/>
      <c r="H58" s="40"/>
      <c r="J58" s="30">
        <v>56</v>
      </c>
      <c r="K58" s="31">
        <f t="shared" si="33"/>
        <v>2.796599999999998</v>
      </c>
      <c r="L58" s="31">
        <f t="shared" si="34"/>
        <v>3.2574000000000001</v>
      </c>
      <c r="M58" s="40"/>
      <c r="N58" s="40">
        <f t="shared" si="35"/>
        <v>0.4608000000000021</v>
      </c>
      <c r="O58" s="40"/>
      <c r="Q58" s="30">
        <v>56</v>
      </c>
      <c r="R58" s="31">
        <f t="shared" si="36"/>
        <v>3.87</v>
      </c>
      <c r="S58" s="31">
        <f t="shared" si="37"/>
        <v>4.319899999999997</v>
      </c>
      <c r="T58" s="40"/>
      <c r="U58" s="40">
        <f t="shared" si="38"/>
        <v>0.44989999999999686</v>
      </c>
      <c r="V58" s="40"/>
    </row>
    <row r="59" spans="1:22" ht="15.75" x14ac:dyDescent="0.25">
      <c r="B59" s="30">
        <v>90</v>
      </c>
      <c r="C59" s="31">
        <f t="shared" si="30"/>
        <v>29.774799999999999</v>
      </c>
      <c r="D59" s="31">
        <f t="shared" si="31"/>
        <v>34.811100000000003</v>
      </c>
      <c r="E59" s="40"/>
      <c r="F59" s="40">
        <f t="shared" si="32"/>
        <v>5.0363000000000042</v>
      </c>
      <c r="G59" s="40"/>
      <c r="H59" s="40"/>
      <c r="J59" s="30">
        <v>90</v>
      </c>
      <c r="K59" s="31">
        <f t="shared" si="33"/>
        <v>3.1201000000000008</v>
      </c>
      <c r="L59" s="31">
        <f t="shared" si="34"/>
        <v>3.6833000000000005</v>
      </c>
      <c r="M59" s="40"/>
      <c r="N59" s="40">
        <f t="shared" si="35"/>
        <v>0.5631999999999997</v>
      </c>
      <c r="O59" s="40"/>
      <c r="Q59" s="30">
        <v>90</v>
      </c>
      <c r="R59" s="31">
        <f t="shared" si="36"/>
        <v>4.2149999999999999</v>
      </c>
      <c r="S59" s="31">
        <f t="shared" si="37"/>
        <v>4.5337999999999923</v>
      </c>
      <c r="T59" s="40"/>
      <c r="U59" s="40">
        <f t="shared" si="38"/>
        <v>0.31879999999999242</v>
      </c>
      <c r="V59" s="40"/>
    </row>
    <row r="60" spans="1:22" x14ac:dyDescent="0.25">
      <c r="F60" s="3">
        <f>SUM(F54:F59)</f>
        <v>23.147700000000025</v>
      </c>
      <c r="N60" s="3">
        <f>SUM(N54:N59)</f>
        <v>1.6000000000000014</v>
      </c>
      <c r="U60" s="3">
        <f>SUM(U54:U59)</f>
        <v>1.0527499999999914</v>
      </c>
    </row>
    <row r="64" spans="1:22" ht="47.25" x14ac:dyDescent="0.25">
      <c r="A64">
        <v>9</v>
      </c>
      <c r="B64" s="44" t="s">
        <v>11</v>
      </c>
      <c r="C64" s="45" t="s">
        <v>46</v>
      </c>
      <c r="D64" s="45" t="s">
        <v>47</v>
      </c>
      <c r="E64" s="39"/>
      <c r="F64" s="39"/>
      <c r="G64" s="39"/>
      <c r="H64" s="39"/>
      <c r="J64" s="44" t="s">
        <v>11</v>
      </c>
      <c r="K64" s="45" t="s">
        <v>46</v>
      </c>
      <c r="L64" s="45" t="s">
        <v>47</v>
      </c>
      <c r="M64" s="39"/>
      <c r="N64" s="39"/>
      <c r="O64" s="39"/>
      <c r="Q64" s="44" t="s">
        <v>11</v>
      </c>
      <c r="R64" s="45" t="s">
        <v>46</v>
      </c>
      <c r="S64" s="45" t="s">
        <v>47</v>
      </c>
      <c r="T64" s="39"/>
      <c r="U64" s="39"/>
      <c r="V64" s="39"/>
    </row>
    <row r="65" spans="2:22" ht="15.75" x14ac:dyDescent="0.25">
      <c r="B65" s="30">
        <v>7</v>
      </c>
      <c r="C65" s="31">
        <f>C54-0.6</f>
        <v>16.079999999999995</v>
      </c>
      <c r="D65" s="31">
        <f>D54-0.85</f>
        <v>18.2974</v>
      </c>
      <c r="E65" s="40"/>
      <c r="F65" s="40">
        <f>D65-C65</f>
        <v>2.2174000000000049</v>
      </c>
      <c r="G65" s="40"/>
      <c r="H65" s="40"/>
      <c r="J65" s="30">
        <v>7</v>
      </c>
      <c r="K65" s="31">
        <v>1.2</v>
      </c>
      <c r="L65" s="31">
        <v>1.3</v>
      </c>
      <c r="M65" s="40"/>
      <c r="N65" s="40">
        <f>L65-K65</f>
        <v>0.10000000000000009</v>
      </c>
      <c r="O65" s="40"/>
      <c r="Q65" s="30">
        <v>7</v>
      </c>
      <c r="R65" s="31">
        <f>R54-0.6</f>
        <v>1.2000000000000002</v>
      </c>
      <c r="S65" s="31">
        <f>S54-0.8</f>
        <v>1.2665500000000003</v>
      </c>
      <c r="T65" s="40"/>
      <c r="U65" s="40">
        <f>S65-R65</f>
        <v>6.6550000000000109E-2</v>
      </c>
      <c r="V65" s="40"/>
    </row>
    <row r="66" spans="2:22" ht="15.75" x14ac:dyDescent="0.25">
      <c r="B66" s="30">
        <v>14</v>
      </c>
      <c r="C66" s="31">
        <f t="shared" ref="C66:C70" si="39">C55-0.6</f>
        <v>20.399999999999995</v>
      </c>
      <c r="D66" s="31">
        <f t="shared" ref="D66:D70" si="40">D55-0.85</f>
        <v>22.845500000000008</v>
      </c>
      <c r="E66" s="40"/>
      <c r="F66" s="40">
        <f t="shared" ref="F66:F70" si="41">D66-C66</f>
        <v>2.4455000000000133</v>
      </c>
      <c r="G66" s="40"/>
      <c r="H66" s="40"/>
      <c r="J66" s="30">
        <v>14</v>
      </c>
      <c r="K66" s="31">
        <f t="shared" ref="K66:K70" si="42">K55-0.6</f>
        <v>1.2100000000000009</v>
      </c>
      <c r="L66" s="31">
        <f t="shared" ref="L66:L70" si="43">L55-0.75</f>
        <v>1.1280000000000006</v>
      </c>
      <c r="M66" s="40"/>
      <c r="N66" s="40">
        <f t="shared" ref="N66:N70" si="44">L66-K66</f>
        <v>-8.2000000000000295E-2</v>
      </c>
      <c r="O66" s="40"/>
      <c r="Q66" s="30">
        <v>14</v>
      </c>
      <c r="R66" s="31">
        <f t="shared" ref="R66:R70" si="45">R55-0.6</f>
        <v>1.7979999999999996</v>
      </c>
      <c r="S66" s="31">
        <f t="shared" ref="S66:S70" si="46">S55-0.8</f>
        <v>1.4045499999999993</v>
      </c>
      <c r="T66" s="40"/>
      <c r="U66" s="40">
        <f t="shared" ref="U66:U70" si="47">S66-R66</f>
        <v>-0.3934500000000003</v>
      </c>
      <c r="V66" s="40"/>
    </row>
    <row r="67" spans="2:22" ht="15.75" x14ac:dyDescent="0.25">
      <c r="B67" s="30">
        <v>21</v>
      </c>
      <c r="C67" s="31">
        <f t="shared" si="39"/>
        <v>22.579999999999995</v>
      </c>
      <c r="D67" s="31">
        <f t="shared" si="40"/>
        <v>25.8856</v>
      </c>
      <c r="E67" s="40"/>
      <c r="F67" s="40">
        <f t="shared" si="41"/>
        <v>3.3056000000000054</v>
      </c>
      <c r="G67" s="40"/>
      <c r="H67" s="40"/>
      <c r="J67" s="30">
        <v>21</v>
      </c>
      <c r="K67" s="31">
        <f t="shared" si="42"/>
        <v>1.6330000000000013</v>
      </c>
      <c r="L67" s="31">
        <f t="shared" si="43"/>
        <v>1.6453000000000002</v>
      </c>
      <c r="M67" s="40"/>
      <c r="N67" s="40">
        <f t="shared" si="44"/>
        <v>1.2299999999998867E-2</v>
      </c>
      <c r="O67" s="40"/>
      <c r="Q67" s="30">
        <v>21</v>
      </c>
      <c r="R67" s="31">
        <f t="shared" si="45"/>
        <v>2.1774999999999998</v>
      </c>
      <c r="S67" s="31">
        <f t="shared" si="46"/>
        <v>1.4378500000000034</v>
      </c>
      <c r="T67" s="40"/>
      <c r="U67" s="40">
        <f t="shared" si="47"/>
        <v>-0.73964999999999637</v>
      </c>
      <c r="V67" s="40"/>
    </row>
    <row r="68" spans="2:22" ht="15.75" x14ac:dyDescent="0.25">
      <c r="B68" s="30">
        <v>28</v>
      </c>
      <c r="C68" s="31">
        <f t="shared" si="39"/>
        <v>24.253499999999992</v>
      </c>
      <c r="D68" s="31">
        <f t="shared" si="40"/>
        <v>28.820100000000004</v>
      </c>
      <c r="E68" s="40"/>
      <c r="F68" s="40">
        <f t="shared" si="41"/>
        <v>4.5666000000000118</v>
      </c>
      <c r="G68" s="40"/>
      <c r="H68" s="40"/>
      <c r="J68" s="30">
        <v>28</v>
      </c>
      <c r="K68" s="31">
        <f t="shared" si="42"/>
        <v>1.9292999999999991</v>
      </c>
      <c r="L68" s="31">
        <f t="shared" si="43"/>
        <v>2.1372000000000004</v>
      </c>
      <c r="M68" s="40"/>
      <c r="N68" s="40">
        <f t="shared" si="44"/>
        <v>0.20790000000000131</v>
      </c>
      <c r="O68" s="40"/>
      <c r="Q68" s="30">
        <v>28</v>
      </c>
      <c r="R68" s="31">
        <f t="shared" si="45"/>
        <v>2.6374999999999997</v>
      </c>
      <c r="S68" s="31">
        <f t="shared" si="46"/>
        <v>3.1880999999999986</v>
      </c>
      <c r="T68" s="40"/>
      <c r="U68" s="40">
        <f t="shared" si="47"/>
        <v>0.55059999999999887</v>
      </c>
      <c r="V68" s="40"/>
    </row>
    <row r="69" spans="2:22" ht="15.75" x14ac:dyDescent="0.25">
      <c r="B69" s="30">
        <v>56</v>
      </c>
      <c r="C69" s="31">
        <f t="shared" si="39"/>
        <v>27.079999999999995</v>
      </c>
      <c r="D69" s="31">
        <f t="shared" si="40"/>
        <v>31.40629999999998</v>
      </c>
      <c r="E69" s="40"/>
      <c r="F69" s="40">
        <f t="shared" si="41"/>
        <v>4.3262999999999856</v>
      </c>
      <c r="G69" s="40"/>
      <c r="H69" s="40"/>
      <c r="J69" s="30">
        <v>56</v>
      </c>
      <c r="K69" s="31">
        <f t="shared" si="42"/>
        <v>2.1965999999999979</v>
      </c>
      <c r="L69" s="31">
        <f t="shared" si="43"/>
        <v>2.5074000000000001</v>
      </c>
      <c r="M69" s="40"/>
      <c r="N69" s="40">
        <f t="shared" si="44"/>
        <v>0.31080000000000219</v>
      </c>
      <c r="O69" s="40"/>
      <c r="Q69" s="30">
        <v>56</v>
      </c>
      <c r="R69" s="31">
        <f t="shared" si="45"/>
        <v>3.27</v>
      </c>
      <c r="S69" s="31">
        <f t="shared" si="46"/>
        <v>3.5198999999999971</v>
      </c>
      <c r="T69" s="40"/>
      <c r="U69" s="40">
        <f t="shared" si="47"/>
        <v>0.24989999999999712</v>
      </c>
      <c r="V69" s="40"/>
    </row>
    <row r="70" spans="2:22" ht="15.75" x14ac:dyDescent="0.25">
      <c r="B70" s="30">
        <v>90</v>
      </c>
      <c r="C70" s="31">
        <f t="shared" si="39"/>
        <v>29.174799999999998</v>
      </c>
      <c r="D70" s="31">
        <f t="shared" si="40"/>
        <v>33.961100000000002</v>
      </c>
      <c r="E70" s="40"/>
      <c r="F70" s="40">
        <f t="shared" si="41"/>
        <v>4.7863000000000042</v>
      </c>
      <c r="G70" s="40"/>
      <c r="H70" s="40"/>
      <c r="J70" s="30">
        <v>90</v>
      </c>
      <c r="K70" s="31">
        <f t="shared" si="42"/>
        <v>2.5201000000000007</v>
      </c>
      <c r="L70" s="31">
        <f t="shared" si="43"/>
        <v>2.9333000000000005</v>
      </c>
      <c r="M70" s="40"/>
      <c r="N70" s="40">
        <f t="shared" si="44"/>
        <v>0.41319999999999979</v>
      </c>
      <c r="O70" s="40"/>
      <c r="Q70" s="30">
        <v>90</v>
      </c>
      <c r="R70" s="31">
        <f t="shared" si="45"/>
        <v>3.6149999999999998</v>
      </c>
      <c r="S70" s="31">
        <f t="shared" si="46"/>
        <v>3.7337999999999925</v>
      </c>
      <c r="T70" s="40"/>
      <c r="U70" s="40">
        <f t="shared" si="47"/>
        <v>0.11879999999999269</v>
      </c>
      <c r="V70" s="40"/>
    </row>
    <row r="71" spans="2:22" x14ac:dyDescent="0.25">
      <c r="F71" s="3">
        <f>SUM(F65:F70)</f>
        <v>21.647700000000025</v>
      </c>
      <c r="N71" s="3">
        <f>SUM(N65:N70)</f>
        <v>0.96220000000000194</v>
      </c>
      <c r="U71" s="3">
        <f>SUM(U65:U70)</f>
        <v>-0.14725000000000787</v>
      </c>
    </row>
  </sheetData>
  <mergeCells count="6">
    <mergeCell ref="B3:D3"/>
    <mergeCell ref="J3:L3"/>
    <mergeCell ref="Q3:S3"/>
    <mergeCell ref="B52:D52"/>
    <mergeCell ref="J52:L52"/>
    <mergeCell ref="Q52:S5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P11"/>
  <sheetViews>
    <sheetView workbookViewId="0">
      <selection activeCell="P16" sqref="P16"/>
    </sheetView>
  </sheetViews>
  <sheetFormatPr defaultRowHeight="15" x14ac:dyDescent="0.25"/>
  <sheetData>
    <row r="5" spans="2:16" ht="15.75" x14ac:dyDescent="0.25">
      <c r="B5" s="13" t="s">
        <v>11</v>
      </c>
      <c r="C5" s="14" t="s">
        <v>38</v>
      </c>
      <c r="D5" s="14" t="s">
        <v>39</v>
      </c>
      <c r="E5" s="14" t="s">
        <v>38</v>
      </c>
      <c r="F5" s="14" t="s">
        <v>40</v>
      </c>
      <c r="G5" s="14" t="s">
        <v>38</v>
      </c>
      <c r="H5" s="14" t="s">
        <v>41</v>
      </c>
      <c r="I5" s="14" t="s">
        <v>38</v>
      </c>
      <c r="J5" s="14" t="s">
        <v>42</v>
      </c>
      <c r="K5" s="14" t="s">
        <v>38</v>
      </c>
      <c r="L5" s="14" t="s">
        <v>43</v>
      </c>
      <c r="M5" s="14" t="s">
        <v>38</v>
      </c>
      <c r="N5" s="14" t="s">
        <v>44</v>
      </c>
      <c r="O5" s="14" t="s">
        <v>38</v>
      </c>
      <c r="P5" s="14" t="s">
        <v>45</v>
      </c>
    </row>
    <row r="6" spans="2:16" ht="15.75" x14ac:dyDescent="0.25">
      <c r="B6" s="30">
        <v>7</v>
      </c>
      <c r="C6" s="31">
        <v>15.056000000000001</v>
      </c>
      <c r="D6" s="19">
        <v>17.158000000000005</v>
      </c>
      <c r="E6" s="31">
        <v>18.4589</v>
      </c>
      <c r="F6" s="31">
        <v>19.978100000000005</v>
      </c>
      <c r="G6" s="31">
        <v>18.899999999999999</v>
      </c>
      <c r="H6" s="31">
        <v>20.997400000000006</v>
      </c>
      <c r="I6" s="19">
        <v>17.979999999999997</v>
      </c>
      <c r="J6" s="19">
        <v>20.347400000000007</v>
      </c>
      <c r="K6" s="19">
        <v>17.379999999999995</v>
      </c>
      <c r="L6" s="19">
        <v>19.647400000000008</v>
      </c>
      <c r="M6" s="19">
        <v>16.679999999999996</v>
      </c>
      <c r="N6" s="19">
        <v>19.147400000000008</v>
      </c>
      <c r="O6" s="19">
        <v>16.079999999999995</v>
      </c>
      <c r="P6" s="19">
        <v>18.297400000000007</v>
      </c>
    </row>
    <row r="7" spans="2:16" ht="15.75" x14ac:dyDescent="0.25">
      <c r="B7" s="30">
        <v>14</v>
      </c>
      <c r="C7" s="31">
        <v>19.039000000000001</v>
      </c>
      <c r="D7" s="19">
        <v>20.700799999999987</v>
      </c>
      <c r="E7" s="31">
        <v>22.526500000000002</v>
      </c>
      <c r="F7" s="31">
        <v>24.09249999999999</v>
      </c>
      <c r="G7" s="31">
        <v>23.22</v>
      </c>
      <c r="H7" s="31">
        <v>25.545500000000008</v>
      </c>
      <c r="I7" s="19">
        <v>22.299999999999997</v>
      </c>
      <c r="J7" s="19">
        <v>24.895500000000009</v>
      </c>
      <c r="K7" s="19">
        <v>21.699999999999996</v>
      </c>
      <c r="L7" s="19">
        <v>24.19550000000001</v>
      </c>
      <c r="M7" s="19">
        <v>20.999999999999996</v>
      </c>
      <c r="N7" s="19">
        <v>23.69550000000001</v>
      </c>
      <c r="O7" s="19">
        <v>20.399999999999995</v>
      </c>
      <c r="P7" s="19">
        <v>22.845500000000008</v>
      </c>
    </row>
    <row r="8" spans="2:16" ht="15.75" x14ac:dyDescent="0.25">
      <c r="B8" s="30">
        <v>21</v>
      </c>
      <c r="C8" s="31">
        <v>22.083999999999993</v>
      </c>
      <c r="D8" s="19">
        <v>23.201699999999995</v>
      </c>
      <c r="E8" s="31">
        <v>24.972199999999994</v>
      </c>
      <c r="F8" s="31">
        <v>27.009699999999988</v>
      </c>
      <c r="G8" s="31">
        <v>25.4</v>
      </c>
      <c r="H8" s="31">
        <v>28.585599999999999</v>
      </c>
      <c r="I8" s="19">
        <v>24.479999999999997</v>
      </c>
      <c r="J8" s="19">
        <v>27.935600000000001</v>
      </c>
      <c r="K8" s="19">
        <v>23.879999999999995</v>
      </c>
      <c r="L8" s="19">
        <v>27.235600000000002</v>
      </c>
      <c r="M8" s="19">
        <v>23.179999999999996</v>
      </c>
      <c r="N8" s="19">
        <v>26.735600000000002</v>
      </c>
      <c r="O8" s="19">
        <v>22.579999999999995</v>
      </c>
      <c r="P8" s="19">
        <v>25.8856</v>
      </c>
    </row>
    <row r="9" spans="2:16" ht="15.75" x14ac:dyDescent="0.25">
      <c r="B9" s="30">
        <v>28</v>
      </c>
      <c r="C9" s="31">
        <v>25.146999999999984</v>
      </c>
      <c r="D9" s="19">
        <v>25.283599999999993</v>
      </c>
      <c r="E9" s="31">
        <v>26.944400000000005</v>
      </c>
      <c r="F9" s="31">
        <v>30.141600000000004</v>
      </c>
      <c r="G9" s="31">
        <v>27.073499999999996</v>
      </c>
      <c r="H9" s="31">
        <v>31.520100000000003</v>
      </c>
      <c r="I9" s="19">
        <v>26.153499999999994</v>
      </c>
      <c r="J9" s="19">
        <v>30.870100000000004</v>
      </c>
      <c r="K9" s="19">
        <v>25.553499999999993</v>
      </c>
      <c r="L9" s="19">
        <v>30.170100000000005</v>
      </c>
      <c r="M9" s="19">
        <v>24.853499999999993</v>
      </c>
      <c r="N9" s="19">
        <v>29.670100000000005</v>
      </c>
      <c r="O9" s="19">
        <v>24.253499999999992</v>
      </c>
      <c r="P9" s="19">
        <v>28.820100000000004</v>
      </c>
    </row>
    <row r="10" spans="2:16" ht="15.75" x14ac:dyDescent="0.25">
      <c r="B10" s="30">
        <v>56</v>
      </c>
      <c r="C10" s="31">
        <v>27.53</v>
      </c>
      <c r="D10" s="19">
        <v>27.795999999999996</v>
      </c>
      <c r="E10" s="31">
        <v>29.071399999999997</v>
      </c>
      <c r="F10" s="31">
        <v>32.703499999999991</v>
      </c>
      <c r="G10" s="31">
        <v>29.9</v>
      </c>
      <c r="H10" s="31">
        <v>34.106299999999983</v>
      </c>
      <c r="I10" s="19">
        <v>28.979999999999997</v>
      </c>
      <c r="J10" s="19">
        <v>33.456299999999985</v>
      </c>
      <c r="K10" s="19">
        <v>28.379999999999995</v>
      </c>
      <c r="L10" s="19">
        <v>32.756299999999982</v>
      </c>
      <c r="M10" s="19">
        <v>27.679999999999996</v>
      </c>
      <c r="N10" s="19">
        <v>32.256299999999982</v>
      </c>
      <c r="O10" s="19">
        <v>27.079999999999995</v>
      </c>
      <c r="P10" s="19">
        <v>31.40629999999998</v>
      </c>
    </row>
    <row r="11" spans="2:16" ht="15.75" x14ac:dyDescent="0.25">
      <c r="B11" s="30">
        <v>90</v>
      </c>
      <c r="C11" s="31">
        <v>28.595999999999993</v>
      </c>
      <c r="D11" s="19">
        <v>29.385000000000002</v>
      </c>
      <c r="E11" s="31">
        <v>30.846399999999999</v>
      </c>
      <c r="F11" s="31">
        <v>34.9099</v>
      </c>
      <c r="G11" s="31">
        <v>31.994800000000001</v>
      </c>
      <c r="H11" s="31">
        <v>36.661100000000005</v>
      </c>
      <c r="I11" s="19">
        <v>31.0748</v>
      </c>
      <c r="J11" s="19">
        <v>36.011100000000006</v>
      </c>
      <c r="K11" s="19">
        <v>30.474799999999998</v>
      </c>
      <c r="L11" s="19">
        <v>35.311100000000003</v>
      </c>
      <c r="M11" s="19">
        <v>29.774799999999999</v>
      </c>
      <c r="N11" s="19">
        <v>34.811100000000003</v>
      </c>
      <c r="O11" s="19">
        <v>29.174799999999998</v>
      </c>
      <c r="P11" s="19">
        <v>33.961100000000002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Q11"/>
  <sheetViews>
    <sheetView workbookViewId="0">
      <selection activeCell="C5" sqref="C5:Q11"/>
    </sheetView>
  </sheetViews>
  <sheetFormatPr defaultRowHeight="15" x14ac:dyDescent="0.25"/>
  <sheetData>
    <row r="5" spans="3:17" ht="15.75" x14ac:dyDescent="0.25">
      <c r="C5" s="13" t="s">
        <v>11</v>
      </c>
      <c r="D5" s="14" t="s">
        <v>38</v>
      </c>
      <c r="E5" s="14" t="s">
        <v>39</v>
      </c>
      <c r="F5" s="14" t="s">
        <v>38</v>
      </c>
      <c r="G5" s="14" t="s">
        <v>40</v>
      </c>
      <c r="H5" s="14" t="s">
        <v>38</v>
      </c>
      <c r="I5" s="14" t="s">
        <v>41</v>
      </c>
      <c r="J5" s="14" t="s">
        <v>38</v>
      </c>
      <c r="K5" s="14" t="s">
        <v>42</v>
      </c>
      <c r="L5" s="14" t="s">
        <v>38</v>
      </c>
      <c r="M5" s="14" t="s">
        <v>43</v>
      </c>
      <c r="N5" s="14" t="s">
        <v>38</v>
      </c>
      <c r="O5" s="14" t="s">
        <v>44</v>
      </c>
      <c r="P5" s="14" t="s">
        <v>38</v>
      </c>
      <c r="Q5" s="14" t="s">
        <v>45</v>
      </c>
    </row>
    <row r="6" spans="3:17" ht="15.75" x14ac:dyDescent="0.25">
      <c r="C6" s="30">
        <v>7</v>
      </c>
      <c r="D6" s="31">
        <v>2.2119999999999989</v>
      </c>
      <c r="E6" s="19">
        <v>2.5</v>
      </c>
      <c r="F6" s="31">
        <v>2.7906000000000004</v>
      </c>
      <c r="G6" s="31">
        <v>3.1984000000000004</v>
      </c>
      <c r="H6" s="31">
        <v>2.7906000000000004</v>
      </c>
      <c r="I6" s="31">
        <v>3.1984000000000004</v>
      </c>
      <c r="J6" s="19">
        <v>2.2906000000000004</v>
      </c>
      <c r="K6" s="19">
        <v>2.5784000000000002</v>
      </c>
      <c r="L6" s="19">
        <v>1.6906000000000003</v>
      </c>
      <c r="M6" s="19">
        <v>1.8784000000000003</v>
      </c>
      <c r="N6" s="19">
        <v>1.2906000000000004</v>
      </c>
      <c r="O6" s="19">
        <v>1.2784000000000004</v>
      </c>
      <c r="P6" s="19">
        <v>0.69060000000000044</v>
      </c>
      <c r="Q6" s="19">
        <v>0.52840000000000042</v>
      </c>
    </row>
    <row r="7" spans="3:17" ht="15.75" x14ac:dyDescent="0.25">
      <c r="C7" s="30">
        <v>14</v>
      </c>
      <c r="D7" s="31">
        <v>2.5</v>
      </c>
      <c r="E7" s="19">
        <v>2.8000000000000016</v>
      </c>
      <c r="F7" s="31">
        <v>3.3100000000000009</v>
      </c>
      <c r="G7" s="31">
        <v>3.7980000000000005</v>
      </c>
      <c r="H7" s="31">
        <v>3.3100000000000009</v>
      </c>
      <c r="I7" s="31">
        <v>3.7980000000000005</v>
      </c>
      <c r="J7" s="19">
        <v>2.8100000000000009</v>
      </c>
      <c r="K7" s="19">
        <v>3.1780000000000004</v>
      </c>
      <c r="L7" s="19">
        <v>2.2100000000000009</v>
      </c>
      <c r="M7" s="19">
        <v>2.4780000000000006</v>
      </c>
      <c r="N7" s="19">
        <v>1.8100000000000009</v>
      </c>
      <c r="O7" s="19">
        <v>1.8780000000000006</v>
      </c>
      <c r="P7" s="19">
        <v>1.2100000000000009</v>
      </c>
      <c r="Q7" s="19">
        <v>1.1280000000000006</v>
      </c>
    </row>
    <row r="8" spans="3:17" ht="15.75" x14ac:dyDescent="0.25">
      <c r="C8" s="30">
        <v>21</v>
      </c>
      <c r="D8" s="31">
        <v>2.599999999999997</v>
      </c>
      <c r="E8" s="19">
        <v>3</v>
      </c>
      <c r="F8" s="31">
        <v>3.7330000000000014</v>
      </c>
      <c r="G8" s="31">
        <v>4.3153000000000006</v>
      </c>
      <c r="H8" s="31">
        <v>3.7330000000000014</v>
      </c>
      <c r="I8" s="31">
        <v>4.3153000000000006</v>
      </c>
      <c r="J8" s="19">
        <v>3.2330000000000014</v>
      </c>
      <c r="K8" s="19">
        <v>3.6953000000000005</v>
      </c>
      <c r="L8" s="19">
        <v>2.6330000000000013</v>
      </c>
      <c r="M8" s="19">
        <v>2.9953000000000003</v>
      </c>
      <c r="N8" s="19">
        <v>2.2330000000000014</v>
      </c>
      <c r="O8" s="19">
        <v>2.3953000000000002</v>
      </c>
      <c r="P8" s="19">
        <v>1.6330000000000013</v>
      </c>
      <c r="Q8" s="19">
        <v>1.6453000000000002</v>
      </c>
    </row>
    <row r="9" spans="3:17" ht="15.75" x14ac:dyDescent="0.25">
      <c r="C9" s="30">
        <v>28</v>
      </c>
      <c r="D9" s="31">
        <v>2.8000000000000016</v>
      </c>
      <c r="E9" s="19">
        <v>3.0999999999999988</v>
      </c>
      <c r="F9" s="31">
        <v>4.0292999999999992</v>
      </c>
      <c r="G9" s="31">
        <v>4.8072000000000008</v>
      </c>
      <c r="H9" s="31">
        <v>4.0292999999999992</v>
      </c>
      <c r="I9" s="31">
        <v>4.8072000000000008</v>
      </c>
      <c r="J9" s="19">
        <v>3.5292999999999992</v>
      </c>
      <c r="K9" s="19">
        <v>4.1872000000000007</v>
      </c>
      <c r="L9" s="19">
        <v>2.9292999999999991</v>
      </c>
      <c r="M9" s="19">
        <v>3.4872000000000005</v>
      </c>
      <c r="N9" s="19">
        <v>2.5292999999999992</v>
      </c>
      <c r="O9" s="19">
        <v>2.8872000000000004</v>
      </c>
      <c r="P9" s="19">
        <v>1.9292999999999991</v>
      </c>
      <c r="Q9" s="19">
        <v>2.1372000000000004</v>
      </c>
    </row>
    <row r="10" spans="3:17" ht="15.75" x14ac:dyDescent="0.25">
      <c r="C10" s="30">
        <v>56</v>
      </c>
      <c r="D10" s="31">
        <v>3</v>
      </c>
      <c r="E10" s="19">
        <v>3.3000000000000012</v>
      </c>
      <c r="F10" s="31">
        <v>4.296599999999998</v>
      </c>
      <c r="G10" s="31">
        <v>5.1774000000000004</v>
      </c>
      <c r="H10" s="31">
        <v>4.296599999999998</v>
      </c>
      <c r="I10" s="31">
        <v>5.1774000000000004</v>
      </c>
      <c r="J10" s="19">
        <v>3.796599999999998</v>
      </c>
      <c r="K10" s="19">
        <v>4.5574000000000003</v>
      </c>
      <c r="L10" s="19">
        <v>3.1965999999999979</v>
      </c>
      <c r="M10" s="19">
        <v>3.8574000000000002</v>
      </c>
      <c r="N10" s="19">
        <v>2.796599999999998</v>
      </c>
      <c r="O10" s="19">
        <v>3.2574000000000001</v>
      </c>
      <c r="P10" s="19">
        <v>2.1965999999999979</v>
      </c>
      <c r="Q10" s="19">
        <v>2.5074000000000001</v>
      </c>
    </row>
    <row r="11" spans="3:17" ht="15.75" x14ac:dyDescent="0.25">
      <c r="C11" s="30">
        <v>90</v>
      </c>
      <c r="D11" s="31">
        <v>3.0999999999999988</v>
      </c>
      <c r="E11" s="19">
        <v>3.3000000000000012</v>
      </c>
      <c r="F11" s="31">
        <v>4.6201000000000008</v>
      </c>
      <c r="G11" s="31">
        <v>5.6033000000000008</v>
      </c>
      <c r="H11" s="31">
        <v>4.6201000000000008</v>
      </c>
      <c r="I11" s="31">
        <v>5.6033000000000008</v>
      </c>
      <c r="J11" s="19">
        <v>4.1201000000000008</v>
      </c>
      <c r="K11" s="19">
        <v>4.9833000000000007</v>
      </c>
      <c r="L11" s="19">
        <v>3.5201000000000007</v>
      </c>
      <c r="M11" s="19">
        <v>4.2833000000000006</v>
      </c>
      <c r="N11" s="19">
        <v>3.1201000000000008</v>
      </c>
      <c r="O11" s="19">
        <v>3.6833000000000005</v>
      </c>
      <c r="P11" s="19">
        <v>2.5201000000000007</v>
      </c>
      <c r="Q11" s="19">
        <v>2.9333000000000005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R12"/>
  <sheetViews>
    <sheetView workbookViewId="0">
      <selection activeCell="D6" sqref="D6:R12"/>
    </sheetView>
  </sheetViews>
  <sheetFormatPr defaultRowHeight="15" x14ac:dyDescent="0.25"/>
  <sheetData>
    <row r="6" spans="4:18" ht="15.75" x14ac:dyDescent="0.25">
      <c r="D6" s="13" t="s">
        <v>11</v>
      </c>
      <c r="E6" s="14" t="s">
        <v>38</v>
      </c>
      <c r="F6" s="14" t="s">
        <v>39</v>
      </c>
      <c r="G6" s="14" t="s">
        <v>38</v>
      </c>
      <c r="H6" s="14" t="s">
        <v>40</v>
      </c>
      <c r="I6" s="14" t="s">
        <v>38</v>
      </c>
      <c r="J6" s="14" t="s">
        <v>41</v>
      </c>
      <c r="K6" s="14" t="s">
        <v>38</v>
      </c>
      <c r="L6" s="14" t="s">
        <v>42</v>
      </c>
      <c r="M6" s="14" t="s">
        <v>38</v>
      </c>
      <c r="N6" s="14" t="s">
        <v>43</v>
      </c>
      <c r="O6" s="14" t="s">
        <v>38</v>
      </c>
      <c r="P6" s="14" t="s">
        <v>44</v>
      </c>
      <c r="Q6" s="14" t="s">
        <v>38</v>
      </c>
      <c r="R6" s="14" t="s">
        <v>45</v>
      </c>
    </row>
    <row r="7" spans="4:18" ht="15.75" x14ac:dyDescent="0.25">
      <c r="D7" s="30">
        <v>7</v>
      </c>
      <c r="E7" s="31">
        <v>2.8451000000000009</v>
      </c>
      <c r="F7" s="19">
        <v>3.1724999999999994</v>
      </c>
      <c r="G7" s="31">
        <v>3</v>
      </c>
      <c r="H7" s="31">
        <v>3.4365500000000009</v>
      </c>
      <c r="I7" s="31">
        <v>3.45</v>
      </c>
      <c r="J7" s="31">
        <v>3.8865500000000006</v>
      </c>
      <c r="K7" s="19">
        <v>2.95</v>
      </c>
      <c r="L7" s="19">
        <v>3.3865500000000006</v>
      </c>
      <c r="M7" s="19">
        <v>2.35</v>
      </c>
      <c r="N7" s="19">
        <v>2.6865500000000004</v>
      </c>
      <c r="O7" s="19">
        <v>1.8</v>
      </c>
      <c r="P7" s="19">
        <v>2.0665500000000003</v>
      </c>
      <c r="Q7" s="19">
        <v>1.2000000000000002</v>
      </c>
      <c r="R7" s="19">
        <v>1.2665500000000003</v>
      </c>
    </row>
    <row r="8" spans="4:18" ht="15.75" x14ac:dyDescent="0.25">
      <c r="D8" s="30">
        <v>14</v>
      </c>
      <c r="E8" s="31">
        <v>3.1483000000000003</v>
      </c>
      <c r="F8" s="19">
        <v>3.4953999999999992</v>
      </c>
      <c r="G8" s="31">
        <v>3.52</v>
      </c>
      <c r="H8" s="31">
        <v>3.49655</v>
      </c>
      <c r="I8" s="31">
        <v>4.048</v>
      </c>
      <c r="J8" s="31">
        <v>4.0245499999999996</v>
      </c>
      <c r="K8" s="19">
        <v>3.548</v>
      </c>
      <c r="L8" s="19">
        <v>3.5245499999999996</v>
      </c>
      <c r="M8" s="19">
        <v>2.948</v>
      </c>
      <c r="N8" s="19">
        <v>2.8245499999999995</v>
      </c>
      <c r="O8" s="19">
        <v>2.3979999999999997</v>
      </c>
      <c r="P8" s="19">
        <v>2.2045499999999993</v>
      </c>
      <c r="Q8" s="19">
        <v>1.7979999999999996</v>
      </c>
      <c r="R8" s="19">
        <v>1.4045499999999993</v>
      </c>
    </row>
    <row r="9" spans="4:18" ht="15.75" x14ac:dyDescent="0.25">
      <c r="D9" s="30">
        <v>21</v>
      </c>
      <c r="E9" s="31">
        <v>3.344800000000002</v>
      </c>
      <c r="F9" s="19">
        <v>3.7130000000000005</v>
      </c>
      <c r="G9" s="31">
        <v>3.85</v>
      </c>
      <c r="H9" s="31">
        <v>3.4803500000000036</v>
      </c>
      <c r="I9" s="31">
        <v>4.4275000000000002</v>
      </c>
      <c r="J9" s="31">
        <v>4.0578500000000037</v>
      </c>
      <c r="K9" s="19">
        <v>3.9275000000000002</v>
      </c>
      <c r="L9" s="19">
        <v>3.5578500000000037</v>
      </c>
      <c r="M9" s="19">
        <v>3.3275000000000001</v>
      </c>
      <c r="N9" s="19">
        <v>2.8578500000000036</v>
      </c>
      <c r="O9" s="19">
        <v>2.7774999999999999</v>
      </c>
      <c r="P9" s="19">
        <v>2.2378500000000034</v>
      </c>
      <c r="Q9" s="19">
        <v>2.1774999999999998</v>
      </c>
      <c r="R9" s="19">
        <v>1.4378500000000034</v>
      </c>
    </row>
    <row r="10" spans="4:18" ht="15.75" x14ac:dyDescent="0.25">
      <c r="D10" s="30">
        <v>28</v>
      </c>
      <c r="E10" s="31">
        <v>4.1669999999999989</v>
      </c>
      <c r="F10" s="19">
        <v>4.7089999999999996</v>
      </c>
      <c r="G10" s="31">
        <v>4.25</v>
      </c>
      <c r="H10" s="31">
        <v>5.1705999999999985</v>
      </c>
      <c r="I10" s="31">
        <v>4.8875000000000002</v>
      </c>
      <c r="J10" s="31">
        <v>5.8080999999999987</v>
      </c>
      <c r="K10" s="19">
        <v>4.3875000000000002</v>
      </c>
      <c r="L10" s="19">
        <v>5.3080999999999987</v>
      </c>
      <c r="M10" s="19">
        <v>3.7875000000000001</v>
      </c>
      <c r="N10" s="19">
        <v>4.6080999999999985</v>
      </c>
      <c r="O10" s="19">
        <v>3.2374999999999998</v>
      </c>
      <c r="P10" s="19">
        <v>3.9880999999999984</v>
      </c>
      <c r="Q10" s="19">
        <v>2.6374999999999997</v>
      </c>
      <c r="R10" s="19">
        <v>3.1880999999999986</v>
      </c>
    </row>
    <row r="11" spans="4:18" ht="15.75" x14ac:dyDescent="0.25">
      <c r="D11" s="30">
        <v>56</v>
      </c>
      <c r="E11" s="31">
        <v>4.5179999999999998</v>
      </c>
      <c r="F11" s="19">
        <v>5.1499999999999977</v>
      </c>
      <c r="G11" s="31">
        <v>4.8</v>
      </c>
      <c r="H11" s="31">
        <v>5.4198999999999975</v>
      </c>
      <c r="I11" s="31">
        <v>5.52</v>
      </c>
      <c r="J11" s="31">
        <v>6.1398999999999972</v>
      </c>
      <c r="K11" s="19">
        <v>5.0199999999999996</v>
      </c>
      <c r="L11" s="19">
        <v>5.6398999999999972</v>
      </c>
      <c r="M11" s="19">
        <v>4.42</v>
      </c>
      <c r="N11" s="19">
        <v>4.9398999999999971</v>
      </c>
      <c r="O11" s="19">
        <v>3.87</v>
      </c>
      <c r="P11" s="19">
        <v>4.319899999999997</v>
      </c>
      <c r="Q11" s="19">
        <v>3.27</v>
      </c>
      <c r="R11" s="19">
        <v>3.5198999999999971</v>
      </c>
    </row>
    <row r="12" spans="4:18" ht="15.75" x14ac:dyDescent="0.25">
      <c r="D12" s="30">
        <v>90</v>
      </c>
      <c r="E12" s="31">
        <v>4.7189999999999941</v>
      </c>
      <c r="F12" s="19">
        <v>5.4220000000000015</v>
      </c>
      <c r="G12" s="31">
        <v>5.0999999999999996</v>
      </c>
      <c r="H12" s="31">
        <v>5.5887999999999929</v>
      </c>
      <c r="I12" s="31">
        <v>5.8649999999999993</v>
      </c>
      <c r="J12" s="31">
        <v>6.3537999999999926</v>
      </c>
      <c r="K12" s="19">
        <v>5.3649999999999993</v>
      </c>
      <c r="L12" s="19">
        <v>5.8537999999999926</v>
      </c>
      <c r="M12" s="19">
        <v>4.7649999999999997</v>
      </c>
      <c r="N12" s="19">
        <v>5.1537999999999924</v>
      </c>
      <c r="O12" s="19">
        <v>4.2149999999999999</v>
      </c>
      <c r="P12" s="19">
        <v>4.5337999999999923</v>
      </c>
      <c r="Q12" s="19">
        <v>3.6149999999999998</v>
      </c>
      <c r="R12" s="19">
        <v>3.7337999999999925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5"/>
  <sheetViews>
    <sheetView topLeftCell="A103" workbookViewId="0">
      <selection activeCell="Q104" sqref="Q104"/>
    </sheetView>
  </sheetViews>
  <sheetFormatPr defaultRowHeight="15" x14ac:dyDescent="0.25"/>
  <cols>
    <col min="1" max="1" width="13.5703125" bestFit="1" customWidth="1"/>
    <col min="3" max="3" width="11" customWidth="1"/>
  </cols>
  <sheetData>
    <row r="4" spans="1:13" x14ac:dyDescent="0.2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>
        <v>1</v>
      </c>
      <c r="B5">
        <v>20.25</v>
      </c>
      <c r="C5">
        <v>23.14</v>
      </c>
      <c r="D5">
        <v>21.38</v>
      </c>
      <c r="E5">
        <v>25.72</v>
      </c>
      <c r="F5">
        <v>26.04</v>
      </c>
      <c r="G5">
        <v>30.91</v>
      </c>
      <c r="H5">
        <v>26.76</v>
      </c>
      <c r="I5">
        <v>33.549999999999997</v>
      </c>
      <c r="J5">
        <v>28.61</v>
      </c>
      <c r="K5">
        <v>39.1</v>
      </c>
      <c r="L5">
        <v>34.39</v>
      </c>
      <c r="M5">
        <v>42</v>
      </c>
    </row>
    <row r="6" spans="1:13" x14ac:dyDescent="0.25">
      <c r="A6">
        <v>2</v>
      </c>
      <c r="B6">
        <v>19.29</v>
      </c>
      <c r="C6">
        <v>20.62</v>
      </c>
      <c r="D6">
        <v>22.87</v>
      </c>
      <c r="E6">
        <v>28.07</v>
      </c>
      <c r="F6">
        <v>26.34</v>
      </c>
      <c r="G6">
        <v>28.73</v>
      </c>
      <c r="H6">
        <v>27.16</v>
      </c>
      <c r="I6">
        <v>32.409999999999997</v>
      </c>
      <c r="J6">
        <v>30.1</v>
      </c>
      <c r="K6">
        <v>38.39</v>
      </c>
      <c r="L6">
        <v>35.86</v>
      </c>
      <c r="M6">
        <v>36.159999999999997</v>
      </c>
    </row>
    <row r="7" spans="1:13" x14ac:dyDescent="0.25">
      <c r="A7">
        <v>3</v>
      </c>
      <c r="B7">
        <v>20.47</v>
      </c>
      <c r="C7">
        <v>23.3</v>
      </c>
      <c r="D7">
        <v>22.99</v>
      </c>
      <c r="E7">
        <v>25.44</v>
      </c>
      <c r="F7">
        <v>27.12</v>
      </c>
      <c r="G7">
        <v>29.64</v>
      </c>
      <c r="H7">
        <v>29.12</v>
      </c>
      <c r="I7">
        <v>33.04</v>
      </c>
      <c r="J7">
        <v>31.01</v>
      </c>
      <c r="K7">
        <v>37.090000000000003</v>
      </c>
      <c r="L7">
        <v>30.9</v>
      </c>
      <c r="M7">
        <v>43.63</v>
      </c>
    </row>
    <row r="8" spans="1:13" x14ac:dyDescent="0.25">
      <c r="A8">
        <v>4</v>
      </c>
      <c r="B8">
        <v>21.78</v>
      </c>
      <c r="C8">
        <v>24.03</v>
      </c>
      <c r="D8">
        <v>22.3</v>
      </c>
      <c r="E8">
        <v>24.39</v>
      </c>
      <c r="F8">
        <v>27.08</v>
      </c>
      <c r="G8">
        <v>28.81</v>
      </c>
      <c r="H8">
        <v>28.92</v>
      </c>
      <c r="I8">
        <v>34.92</v>
      </c>
      <c r="J8">
        <v>31.07</v>
      </c>
      <c r="K8">
        <v>36.03</v>
      </c>
      <c r="L8">
        <v>33.840000000000003</v>
      </c>
      <c r="M8">
        <v>40.29</v>
      </c>
    </row>
    <row r="9" spans="1:13" x14ac:dyDescent="0.25">
      <c r="A9">
        <v>5</v>
      </c>
      <c r="B9">
        <v>19.149999999999999</v>
      </c>
      <c r="C9">
        <v>22.62</v>
      </c>
      <c r="D9">
        <v>23.26</v>
      </c>
      <c r="E9">
        <v>24.17</v>
      </c>
      <c r="F9">
        <v>23.43</v>
      </c>
      <c r="G9">
        <v>28.85</v>
      </c>
      <c r="H9">
        <v>27.97</v>
      </c>
      <c r="I9">
        <v>33.29</v>
      </c>
      <c r="J9">
        <v>30.32</v>
      </c>
      <c r="K9">
        <v>38.049999999999997</v>
      </c>
      <c r="L9">
        <v>32.020000000000003</v>
      </c>
      <c r="M9">
        <v>42.16</v>
      </c>
    </row>
    <row r="10" spans="1:13" x14ac:dyDescent="0.25">
      <c r="A10">
        <v>6</v>
      </c>
      <c r="B10">
        <v>19.149999999999999</v>
      </c>
      <c r="C10">
        <v>24.82</v>
      </c>
      <c r="D10">
        <v>24.11</v>
      </c>
      <c r="E10">
        <v>27.41</v>
      </c>
      <c r="F10">
        <v>24.09</v>
      </c>
      <c r="G10">
        <v>29.04</v>
      </c>
      <c r="H10">
        <v>28.18</v>
      </c>
      <c r="I10">
        <v>33.07</v>
      </c>
      <c r="J10">
        <v>31.93</v>
      </c>
      <c r="K10">
        <v>37.590000000000003</v>
      </c>
      <c r="L10">
        <v>32.270000000000003</v>
      </c>
      <c r="M10">
        <v>38.94</v>
      </c>
    </row>
    <row r="11" spans="1:13" x14ac:dyDescent="0.25">
      <c r="A11">
        <v>7</v>
      </c>
      <c r="B11">
        <v>21.87</v>
      </c>
      <c r="C11">
        <v>20.84</v>
      </c>
      <c r="D11">
        <v>26.33</v>
      </c>
      <c r="E11">
        <v>24.58</v>
      </c>
      <c r="F11">
        <v>26.27</v>
      </c>
      <c r="G11">
        <v>29.83</v>
      </c>
      <c r="H11">
        <v>29.92</v>
      </c>
      <c r="I11">
        <v>30.96</v>
      </c>
      <c r="J11">
        <v>29.4</v>
      </c>
      <c r="K11">
        <v>38.340000000000003</v>
      </c>
      <c r="L11">
        <v>32.11</v>
      </c>
      <c r="M11">
        <v>41.42</v>
      </c>
    </row>
    <row r="12" spans="1:13" x14ac:dyDescent="0.25">
      <c r="A12">
        <v>8</v>
      </c>
      <c r="B12">
        <v>20.65</v>
      </c>
      <c r="C12">
        <v>20.13</v>
      </c>
      <c r="D12">
        <v>23.76</v>
      </c>
      <c r="E12">
        <v>29.13</v>
      </c>
      <c r="F12">
        <v>26.27</v>
      </c>
      <c r="G12">
        <v>28.78</v>
      </c>
      <c r="H12">
        <v>27.11</v>
      </c>
      <c r="I12">
        <v>34.119999999999997</v>
      </c>
      <c r="J12">
        <v>30.79</v>
      </c>
      <c r="K12">
        <v>37.950000000000003</v>
      </c>
      <c r="L12">
        <v>31.7</v>
      </c>
      <c r="M12">
        <v>38.92</v>
      </c>
    </row>
    <row r="13" spans="1:13" x14ac:dyDescent="0.25">
      <c r="A13">
        <v>9</v>
      </c>
      <c r="B13">
        <v>18.8</v>
      </c>
      <c r="C13">
        <v>19.329999999999998</v>
      </c>
      <c r="D13">
        <v>23.89</v>
      </c>
      <c r="E13">
        <v>23.38</v>
      </c>
      <c r="F13">
        <v>26.27</v>
      </c>
      <c r="G13">
        <v>31.38</v>
      </c>
      <c r="H13">
        <v>28.82</v>
      </c>
      <c r="I13">
        <v>33.97</v>
      </c>
      <c r="J13">
        <v>31.18</v>
      </c>
      <c r="K13">
        <v>38.57</v>
      </c>
      <c r="L13">
        <v>33.07</v>
      </c>
      <c r="M13">
        <v>39.56</v>
      </c>
    </row>
    <row r="14" spans="1:13" x14ac:dyDescent="0.25">
      <c r="A14">
        <v>10</v>
      </c>
      <c r="B14">
        <v>20.309999999999999</v>
      </c>
      <c r="C14">
        <v>24.24</v>
      </c>
      <c r="D14">
        <v>23.39</v>
      </c>
      <c r="E14">
        <v>29.04</v>
      </c>
      <c r="F14">
        <v>31.28</v>
      </c>
      <c r="G14">
        <v>28.16</v>
      </c>
      <c r="H14">
        <v>27.7</v>
      </c>
      <c r="I14">
        <v>36.24</v>
      </c>
      <c r="J14">
        <v>31.77</v>
      </c>
      <c r="K14">
        <v>36.200000000000003</v>
      </c>
      <c r="L14">
        <v>31.75</v>
      </c>
      <c r="M14">
        <v>43.37</v>
      </c>
    </row>
    <row r="15" spans="1:13" x14ac:dyDescent="0.25">
      <c r="A15">
        <v>11</v>
      </c>
      <c r="B15">
        <v>18.8</v>
      </c>
      <c r="C15">
        <v>22.98</v>
      </c>
      <c r="D15">
        <v>20.62</v>
      </c>
      <c r="E15">
        <v>26.82</v>
      </c>
      <c r="F15">
        <v>26.36</v>
      </c>
      <c r="G15">
        <v>29.22</v>
      </c>
      <c r="H15">
        <v>27.67</v>
      </c>
      <c r="I15">
        <v>32.54</v>
      </c>
      <c r="J15">
        <v>32.07</v>
      </c>
      <c r="K15">
        <v>38.979999999999997</v>
      </c>
      <c r="L15">
        <v>33.409999999999997</v>
      </c>
      <c r="M15">
        <v>40.21</v>
      </c>
    </row>
    <row r="16" spans="1:13" x14ac:dyDescent="0.25">
      <c r="A16">
        <v>12</v>
      </c>
      <c r="B16">
        <v>18.8</v>
      </c>
      <c r="C16">
        <v>21.92</v>
      </c>
      <c r="D16">
        <v>23.46</v>
      </c>
      <c r="E16">
        <v>26.35</v>
      </c>
      <c r="F16">
        <v>27.2</v>
      </c>
      <c r="G16">
        <v>28.84</v>
      </c>
      <c r="H16">
        <v>29.65</v>
      </c>
      <c r="I16">
        <v>33.33</v>
      </c>
      <c r="J16">
        <v>29.31</v>
      </c>
      <c r="K16">
        <v>37.299999999999997</v>
      </c>
      <c r="L16">
        <v>32.92</v>
      </c>
      <c r="M16">
        <v>40.83</v>
      </c>
    </row>
    <row r="17" spans="1:13" x14ac:dyDescent="0.25">
      <c r="A17">
        <v>13</v>
      </c>
      <c r="B17">
        <v>19.86</v>
      </c>
      <c r="C17">
        <v>22.42</v>
      </c>
      <c r="D17">
        <v>23.59</v>
      </c>
      <c r="E17">
        <v>25.68</v>
      </c>
      <c r="F17">
        <v>26.93</v>
      </c>
      <c r="G17">
        <v>31.67</v>
      </c>
      <c r="H17">
        <v>29.24</v>
      </c>
      <c r="I17">
        <v>33.369999999999997</v>
      </c>
      <c r="J17">
        <v>28.7</v>
      </c>
      <c r="K17">
        <v>40.11</v>
      </c>
      <c r="L17">
        <v>32.64</v>
      </c>
      <c r="M17">
        <v>41.81</v>
      </c>
    </row>
    <row r="18" spans="1:13" x14ac:dyDescent="0.25">
      <c r="A18">
        <v>14</v>
      </c>
      <c r="B18">
        <v>16.63</v>
      </c>
      <c r="C18">
        <v>20.309999999999999</v>
      </c>
      <c r="D18">
        <v>27.19</v>
      </c>
      <c r="E18">
        <v>27.1</v>
      </c>
      <c r="F18">
        <v>26.48</v>
      </c>
      <c r="G18">
        <v>29.79</v>
      </c>
      <c r="H18">
        <v>29.22</v>
      </c>
      <c r="I18">
        <v>35.369999999999997</v>
      </c>
      <c r="J18">
        <v>32.92</v>
      </c>
      <c r="K18">
        <v>35.97</v>
      </c>
      <c r="L18">
        <v>31.64</v>
      </c>
      <c r="M18">
        <v>41.24</v>
      </c>
    </row>
    <row r="19" spans="1:13" x14ac:dyDescent="0.25">
      <c r="A19">
        <v>15</v>
      </c>
      <c r="B19">
        <v>16.91</v>
      </c>
      <c r="C19">
        <v>25.67</v>
      </c>
      <c r="D19">
        <v>23.21</v>
      </c>
      <c r="E19">
        <v>26.44</v>
      </c>
      <c r="F19">
        <v>25.03</v>
      </c>
      <c r="G19">
        <v>31.05</v>
      </c>
      <c r="H19">
        <v>29.96</v>
      </c>
      <c r="I19">
        <v>32.86</v>
      </c>
      <c r="J19">
        <v>31.5</v>
      </c>
      <c r="K19">
        <v>39.6</v>
      </c>
      <c r="L19">
        <v>32.130000000000003</v>
      </c>
      <c r="M19">
        <v>40.729999999999997</v>
      </c>
    </row>
    <row r="20" spans="1:13" x14ac:dyDescent="0.25">
      <c r="A20">
        <v>16</v>
      </c>
      <c r="B20">
        <v>18.66</v>
      </c>
      <c r="C20">
        <v>22.19</v>
      </c>
      <c r="D20">
        <v>23.95</v>
      </c>
      <c r="E20">
        <v>28.15</v>
      </c>
      <c r="F20">
        <v>26.64</v>
      </c>
      <c r="G20">
        <v>27.27</v>
      </c>
      <c r="H20">
        <v>28.03</v>
      </c>
      <c r="I20">
        <v>33.42</v>
      </c>
      <c r="J20">
        <v>29.88</v>
      </c>
      <c r="K20">
        <v>37.299999999999997</v>
      </c>
      <c r="L20">
        <v>34.130000000000003</v>
      </c>
      <c r="M20">
        <v>41.05</v>
      </c>
    </row>
    <row r="21" spans="1:13" x14ac:dyDescent="0.25">
      <c r="A21">
        <v>17</v>
      </c>
      <c r="B21">
        <v>17.98</v>
      </c>
      <c r="C21">
        <v>22.16</v>
      </c>
      <c r="D21">
        <v>23.45</v>
      </c>
      <c r="E21">
        <v>26.67</v>
      </c>
      <c r="F21">
        <v>24.34</v>
      </c>
      <c r="G21">
        <v>29.9</v>
      </c>
      <c r="H21">
        <v>29.02</v>
      </c>
      <c r="I21">
        <v>33.909999999999997</v>
      </c>
      <c r="J21">
        <v>33.33</v>
      </c>
      <c r="K21">
        <v>36.020000000000003</v>
      </c>
      <c r="L21">
        <v>33.75</v>
      </c>
      <c r="M21">
        <v>44.11</v>
      </c>
    </row>
    <row r="22" spans="1:13" x14ac:dyDescent="0.25">
      <c r="A22">
        <v>18</v>
      </c>
      <c r="B22">
        <v>19.97</v>
      </c>
      <c r="C22">
        <v>23.09</v>
      </c>
      <c r="D22">
        <v>21.75</v>
      </c>
      <c r="E22">
        <v>26.73</v>
      </c>
      <c r="F22">
        <v>25.14</v>
      </c>
      <c r="G22">
        <v>30.83</v>
      </c>
      <c r="H22">
        <v>27.53</v>
      </c>
      <c r="I22">
        <v>33.28</v>
      </c>
      <c r="J22">
        <v>31.17</v>
      </c>
      <c r="K22">
        <v>36.270000000000003</v>
      </c>
      <c r="L22">
        <v>31.53</v>
      </c>
      <c r="M22">
        <v>40.409999999999997</v>
      </c>
    </row>
    <row r="23" spans="1:13" x14ac:dyDescent="0.25">
      <c r="A23">
        <v>19</v>
      </c>
      <c r="B23">
        <v>18.14</v>
      </c>
      <c r="C23">
        <v>22.72</v>
      </c>
      <c r="D23">
        <v>25.21</v>
      </c>
      <c r="E23">
        <v>25.95</v>
      </c>
      <c r="F23">
        <v>24.77</v>
      </c>
      <c r="G23">
        <v>29.62</v>
      </c>
      <c r="H23">
        <v>28.49</v>
      </c>
      <c r="I23">
        <v>32.33</v>
      </c>
      <c r="J23">
        <v>32.770000000000003</v>
      </c>
      <c r="K23">
        <v>36.520000000000003</v>
      </c>
      <c r="L23">
        <v>33.15</v>
      </c>
      <c r="M23">
        <v>40.799999999999997</v>
      </c>
    </row>
    <row r="24" spans="1:13" x14ac:dyDescent="0.25">
      <c r="A24">
        <v>20</v>
      </c>
      <c r="B24">
        <v>17.38</v>
      </c>
      <c r="C24">
        <v>22.34</v>
      </c>
      <c r="D24">
        <v>24.63</v>
      </c>
      <c r="E24">
        <v>26.41</v>
      </c>
      <c r="F24">
        <v>25.62</v>
      </c>
      <c r="G24">
        <v>31.1</v>
      </c>
      <c r="H24">
        <v>27.8</v>
      </c>
      <c r="I24">
        <v>33.29</v>
      </c>
      <c r="J24">
        <v>31.1</v>
      </c>
      <c r="K24">
        <v>37.64</v>
      </c>
      <c r="L24">
        <v>34.130000000000003</v>
      </c>
      <c r="M24">
        <v>42.08</v>
      </c>
    </row>
    <row r="25" spans="1:13" x14ac:dyDescent="0.25">
      <c r="A25">
        <v>21</v>
      </c>
      <c r="B25">
        <v>21.7</v>
      </c>
      <c r="C25">
        <v>20.81</v>
      </c>
      <c r="D25">
        <v>24.69</v>
      </c>
      <c r="E25">
        <v>26.96</v>
      </c>
      <c r="F25">
        <v>28.97</v>
      </c>
      <c r="G25">
        <v>28.72</v>
      </c>
      <c r="H25">
        <v>28.15</v>
      </c>
      <c r="I25">
        <v>34.61</v>
      </c>
      <c r="J25">
        <v>34.090000000000003</v>
      </c>
      <c r="K25">
        <v>37.78</v>
      </c>
      <c r="L25">
        <v>30.5</v>
      </c>
      <c r="M25">
        <v>42.16</v>
      </c>
    </row>
    <row r="26" spans="1:13" x14ac:dyDescent="0.25">
      <c r="A26">
        <v>22</v>
      </c>
      <c r="B26">
        <v>19.16</v>
      </c>
      <c r="C26">
        <v>22.71</v>
      </c>
      <c r="D26">
        <v>22.14</v>
      </c>
      <c r="E26">
        <v>23.93</v>
      </c>
      <c r="F26">
        <v>22.7</v>
      </c>
      <c r="G26">
        <v>31.61</v>
      </c>
      <c r="H26">
        <v>28.89</v>
      </c>
      <c r="I26">
        <v>31.46</v>
      </c>
      <c r="J26">
        <v>33.630000000000003</v>
      </c>
      <c r="K26">
        <v>36.14</v>
      </c>
      <c r="L26">
        <v>33.82</v>
      </c>
      <c r="M26">
        <v>42.28</v>
      </c>
    </row>
    <row r="27" spans="1:13" x14ac:dyDescent="0.25">
      <c r="A27">
        <v>23</v>
      </c>
      <c r="B27">
        <v>19.600000000000001</v>
      </c>
      <c r="C27">
        <v>24.82</v>
      </c>
      <c r="D27">
        <v>25.6</v>
      </c>
      <c r="E27">
        <v>24.48</v>
      </c>
      <c r="F27">
        <v>26.53</v>
      </c>
      <c r="G27">
        <v>32.950000000000003</v>
      </c>
      <c r="H27">
        <v>26.77</v>
      </c>
      <c r="I27">
        <v>33.200000000000003</v>
      </c>
      <c r="J27">
        <v>30.63</v>
      </c>
      <c r="K27">
        <v>36.96</v>
      </c>
      <c r="L27">
        <v>32.01</v>
      </c>
      <c r="M27">
        <v>41.46</v>
      </c>
    </row>
    <row r="28" spans="1:13" x14ac:dyDescent="0.25">
      <c r="A28">
        <v>24</v>
      </c>
      <c r="B28">
        <v>17.36</v>
      </c>
      <c r="C28">
        <v>24.02</v>
      </c>
      <c r="D28">
        <v>21.4</v>
      </c>
      <c r="E28">
        <v>27.61</v>
      </c>
      <c r="F28">
        <v>23.08</v>
      </c>
      <c r="G28">
        <v>28.96</v>
      </c>
      <c r="H28">
        <v>31.14</v>
      </c>
      <c r="I28">
        <v>31.95</v>
      </c>
      <c r="J28">
        <v>32.46</v>
      </c>
      <c r="K28">
        <v>40.21</v>
      </c>
      <c r="L28">
        <v>33.86</v>
      </c>
      <c r="M28">
        <v>38.79</v>
      </c>
    </row>
    <row r="29" spans="1:13" x14ac:dyDescent="0.25">
      <c r="A29">
        <v>25</v>
      </c>
      <c r="B29">
        <v>18.68</v>
      </c>
      <c r="C29">
        <v>24.39</v>
      </c>
      <c r="D29">
        <v>24.38</v>
      </c>
      <c r="E29">
        <v>26.76</v>
      </c>
      <c r="F29">
        <v>24.79</v>
      </c>
      <c r="G29">
        <v>28.83</v>
      </c>
      <c r="H29">
        <v>26.49</v>
      </c>
      <c r="I29">
        <v>34.79</v>
      </c>
      <c r="J29">
        <v>31.97</v>
      </c>
      <c r="K29">
        <v>39.590000000000003</v>
      </c>
      <c r="L29">
        <v>31.86</v>
      </c>
      <c r="M29">
        <v>42.95</v>
      </c>
    </row>
    <row r="30" spans="1:13" x14ac:dyDescent="0.25">
      <c r="A30">
        <v>26</v>
      </c>
      <c r="B30">
        <v>19.670000000000002</v>
      </c>
      <c r="C30">
        <v>21.23</v>
      </c>
      <c r="D30">
        <v>26.79</v>
      </c>
      <c r="E30">
        <v>26.22</v>
      </c>
      <c r="F30">
        <v>27.13</v>
      </c>
      <c r="G30">
        <v>31.68</v>
      </c>
      <c r="H30">
        <v>26.18</v>
      </c>
      <c r="I30">
        <v>30.72</v>
      </c>
      <c r="J30">
        <v>33.049999999999997</v>
      </c>
      <c r="K30">
        <v>37.65</v>
      </c>
      <c r="L30">
        <v>30.29</v>
      </c>
      <c r="M30">
        <v>38.78</v>
      </c>
    </row>
    <row r="31" spans="1:13" x14ac:dyDescent="0.25">
      <c r="A31">
        <v>27</v>
      </c>
      <c r="B31">
        <v>17.77</v>
      </c>
      <c r="C31">
        <v>20.52</v>
      </c>
      <c r="D31">
        <v>22.01</v>
      </c>
      <c r="E31">
        <v>26.53</v>
      </c>
      <c r="F31">
        <v>25.6</v>
      </c>
      <c r="G31">
        <v>31.87</v>
      </c>
      <c r="H31">
        <v>29.74</v>
      </c>
      <c r="I31">
        <v>32.159999999999997</v>
      </c>
      <c r="J31">
        <v>29.55</v>
      </c>
      <c r="K31">
        <v>37.06</v>
      </c>
      <c r="L31">
        <v>30.56</v>
      </c>
      <c r="M31">
        <v>40.950000000000003</v>
      </c>
    </row>
    <row r="32" spans="1:13" x14ac:dyDescent="0.25">
      <c r="A32">
        <v>28</v>
      </c>
      <c r="B32">
        <v>20.059999999999999</v>
      </c>
      <c r="C32">
        <v>21.81</v>
      </c>
      <c r="D32">
        <v>22.65</v>
      </c>
      <c r="E32">
        <v>27.02</v>
      </c>
      <c r="F32">
        <v>23.88</v>
      </c>
      <c r="G32">
        <v>28.72</v>
      </c>
      <c r="H32">
        <v>29.19</v>
      </c>
      <c r="I32">
        <v>33.57</v>
      </c>
      <c r="J32">
        <v>32.03</v>
      </c>
      <c r="K32">
        <v>37.18</v>
      </c>
      <c r="L32">
        <v>33.07</v>
      </c>
      <c r="M32">
        <v>39.369999999999997</v>
      </c>
    </row>
    <row r="33" spans="1:13" x14ac:dyDescent="0.25">
      <c r="A33">
        <v>29</v>
      </c>
      <c r="B33">
        <v>18.600000000000001</v>
      </c>
      <c r="C33">
        <v>22.08</v>
      </c>
      <c r="D33">
        <v>23.65</v>
      </c>
      <c r="E33">
        <v>25.69</v>
      </c>
      <c r="F33">
        <v>24.43</v>
      </c>
      <c r="G33">
        <v>28.87</v>
      </c>
      <c r="H33">
        <v>28.94</v>
      </c>
      <c r="I33">
        <v>35.35</v>
      </c>
      <c r="J33">
        <v>32.590000000000003</v>
      </c>
      <c r="K33">
        <v>37.92</v>
      </c>
      <c r="L33">
        <v>33.39</v>
      </c>
      <c r="M33">
        <v>40.4</v>
      </c>
    </row>
    <row r="34" spans="1:13" x14ac:dyDescent="0.25">
      <c r="A34">
        <v>30</v>
      </c>
      <c r="B34">
        <v>19.059999999999999</v>
      </c>
      <c r="C34">
        <v>23.64</v>
      </c>
      <c r="D34">
        <v>22.74</v>
      </c>
      <c r="E34">
        <v>25.33</v>
      </c>
      <c r="F34">
        <v>26.52</v>
      </c>
      <c r="G34">
        <v>29.08</v>
      </c>
      <c r="H34">
        <v>28.94</v>
      </c>
      <c r="I34">
        <v>32.9</v>
      </c>
      <c r="J34">
        <v>28.36</v>
      </c>
      <c r="K34">
        <v>35.47</v>
      </c>
      <c r="L34">
        <v>31.64</v>
      </c>
      <c r="M34">
        <v>40.99</v>
      </c>
    </row>
    <row r="35" spans="1:13" x14ac:dyDescent="0.25">
      <c r="A35">
        <v>31</v>
      </c>
      <c r="B35">
        <v>18.600000000000001</v>
      </c>
      <c r="C35">
        <v>19.46</v>
      </c>
      <c r="D35">
        <v>21.17</v>
      </c>
      <c r="E35">
        <v>26.79</v>
      </c>
      <c r="F35">
        <v>24.4</v>
      </c>
      <c r="G35">
        <v>27.48</v>
      </c>
      <c r="H35">
        <v>27.98</v>
      </c>
      <c r="I35">
        <v>32.17</v>
      </c>
      <c r="J35">
        <v>29.23</v>
      </c>
      <c r="K35">
        <v>36.61</v>
      </c>
      <c r="L35">
        <v>33.96</v>
      </c>
      <c r="M35">
        <v>40.98</v>
      </c>
    </row>
    <row r="36" spans="1:13" x14ac:dyDescent="0.25">
      <c r="A36">
        <v>32</v>
      </c>
      <c r="B36">
        <v>22.28</v>
      </c>
      <c r="C36">
        <v>24.29</v>
      </c>
      <c r="D36">
        <v>23.6</v>
      </c>
      <c r="E36">
        <v>25.03</v>
      </c>
      <c r="F36">
        <v>25.82</v>
      </c>
      <c r="G36">
        <v>28.12</v>
      </c>
      <c r="H36">
        <v>26.65</v>
      </c>
      <c r="I36">
        <v>35.82</v>
      </c>
      <c r="J36">
        <v>27.94</v>
      </c>
      <c r="K36">
        <v>34.5</v>
      </c>
      <c r="L36">
        <v>30.51</v>
      </c>
      <c r="M36">
        <v>41.13</v>
      </c>
    </row>
    <row r="37" spans="1:13" x14ac:dyDescent="0.25">
      <c r="A37">
        <v>33</v>
      </c>
      <c r="B37">
        <v>19.48</v>
      </c>
      <c r="C37">
        <v>21.76</v>
      </c>
      <c r="D37">
        <v>21.91</v>
      </c>
      <c r="E37">
        <v>27.11</v>
      </c>
      <c r="F37">
        <v>25.57</v>
      </c>
      <c r="G37">
        <v>27.99</v>
      </c>
      <c r="H37">
        <v>28.11</v>
      </c>
      <c r="I37">
        <v>30.83</v>
      </c>
      <c r="J37">
        <v>30.6</v>
      </c>
      <c r="K37">
        <v>37.6</v>
      </c>
      <c r="L37">
        <v>32.9</v>
      </c>
      <c r="M37">
        <v>42.92</v>
      </c>
    </row>
    <row r="38" spans="1:13" x14ac:dyDescent="0.25">
      <c r="A38">
        <v>34</v>
      </c>
      <c r="B38">
        <v>17.91</v>
      </c>
      <c r="C38">
        <v>21.36</v>
      </c>
      <c r="D38">
        <v>24.21</v>
      </c>
      <c r="E38">
        <v>23.95</v>
      </c>
      <c r="F38">
        <v>24.52</v>
      </c>
      <c r="G38">
        <v>28.35</v>
      </c>
      <c r="H38">
        <v>26.98</v>
      </c>
      <c r="I38">
        <v>29.7</v>
      </c>
      <c r="J38">
        <v>32.08</v>
      </c>
      <c r="K38">
        <v>37.97</v>
      </c>
      <c r="L38">
        <v>31.18</v>
      </c>
      <c r="M38">
        <v>41.18</v>
      </c>
    </row>
    <row r="39" spans="1:13" x14ac:dyDescent="0.25">
      <c r="A39">
        <v>35</v>
      </c>
      <c r="B39">
        <v>20.73</v>
      </c>
      <c r="C39">
        <v>20.48</v>
      </c>
      <c r="D39">
        <v>22.12</v>
      </c>
      <c r="E39">
        <v>28.04</v>
      </c>
      <c r="F39">
        <v>28.72</v>
      </c>
      <c r="G39">
        <v>29.45</v>
      </c>
      <c r="H39">
        <v>29.46</v>
      </c>
      <c r="I39">
        <v>33.659999999999997</v>
      </c>
      <c r="J39">
        <v>33.25</v>
      </c>
      <c r="K39">
        <v>36.28</v>
      </c>
      <c r="L39">
        <v>32.020000000000003</v>
      </c>
      <c r="M39">
        <v>40.130000000000003</v>
      </c>
    </row>
    <row r="40" spans="1:13" x14ac:dyDescent="0.25">
      <c r="A40">
        <v>36</v>
      </c>
      <c r="B40">
        <v>17.670000000000002</v>
      </c>
      <c r="C40">
        <v>19.52</v>
      </c>
      <c r="D40">
        <v>25.82</v>
      </c>
      <c r="E40">
        <v>27.21</v>
      </c>
      <c r="F40">
        <v>26.45</v>
      </c>
      <c r="G40">
        <v>29.85</v>
      </c>
      <c r="H40">
        <v>27.78</v>
      </c>
      <c r="I40">
        <v>32.25</v>
      </c>
      <c r="J40">
        <v>31.11</v>
      </c>
      <c r="K40">
        <v>39.36</v>
      </c>
      <c r="L40">
        <v>33.07</v>
      </c>
      <c r="M40">
        <v>41.95</v>
      </c>
    </row>
    <row r="41" spans="1:13" x14ac:dyDescent="0.25">
      <c r="A41">
        <v>37</v>
      </c>
      <c r="B41">
        <v>19.809999999999999</v>
      </c>
      <c r="C41">
        <v>23.23</v>
      </c>
      <c r="D41">
        <v>22.33</v>
      </c>
      <c r="E41">
        <v>26.88</v>
      </c>
      <c r="F41">
        <v>22.46</v>
      </c>
      <c r="G41">
        <v>31.83</v>
      </c>
      <c r="H41">
        <v>26.76</v>
      </c>
      <c r="I41">
        <v>31.47</v>
      </c>
      <c r="J41">
        <v>33.44</v>
      </c>
      <c r="K41">
        <v>35.159999999999997</v>
      </c>
      <c r="L41">
        <v>31.71</v>
      </c>
      <c r="M41">
        <v>42.28</v>
      </c>
    </row>
    <row r="42" spans="1:13" x14ac:dyDescent="0.25">
      <c r="A42">
        <v>38</v>
      </c>
      <c r="B42">
        <v>16.559999999999999</v>
      </c>
      <c r="C42">
        <v>22.11</v>
      </c>
      <c r="D42">
        <v>23.02</v>
      </c>
      <c r="E42">
        <v>27.97</v>
      </c>
      <c r="F42">
        <v>25.78</v>
      </c>
      <c r="G42">
        <v>28</v>
      </c>
      <c r="H42">
        <v>27.52</v>
      </c>
      <c r="I42">
        <v>34.06</v>
      </c>
      <c r="J42">
        <v>28.93</v>
      </c>
      <c r="K42">
        <v>34.799999999999997</v>
      </c>
      <c r="L42">
        <v>32.42</v>
      </c>
      <c r="M42">
        <v>38.659999999999997</v>
      </c>
    </row>
    <row r="43" spans="1:13" x14ac:dyDescent="0.25">
      <c r="A43">
        <v>39</v>
      </c>
      <c r="B43">
        <v>17.510000000000002</v>
      </c>
      <c r="C43">
        <v>20.07</v>
      </c>
      <c r="D43">
        <v>24.72</v>
      </c>
      <c r="E43">
        <v>29</v>
      </c>
      <c r="F43">
        <v>24.51</v>
      </c>
      <c r="G43">
        <v>30.98</v>
      </c>
      <c r="H43">
        <v>28.62</v>
      </c>
      <c r="I43">
        <v>33.369999999999997</v>
      </c>
      <c r="J43">
        <v>28.44</v>
      </c>
      <c r="K43">
        <v>37.340000000000003</v>
      </c>
      <c r="L43">
        <v>34.51</v>
      </c>
      <c r="M43">
        <v>41.4</v>
      </c>
    </row>
    <row r="44" spans="1:13" x14ac:dyDescent="0.25">
      <c r="A44">
        <v>40</v>
      </c>
      <c r="B44">
        <v>19.8</v>
      </c>
      <c r="C44">
        <v>20.059999999999999</v>
      </c>
      <c r="D44">
        <v>21.65</v>
      </c>
      <c r="E44">
        <v>28.02</v>
      </c>
      <c r="F44">
        <v>26.78</v>
      </c>
      <c r="G44">
        <v>29.18</v>
      </c>
      <c r="H44">
        <v>27.15</v>
      </c>
      <c r="I44">
        <v>32.15</v>
      </c>
      <c r="J44">
        <v>30.92</v>
      </c>
      <c r="K44">
        <v>38.57</v>
      </c>
      <c r="L44">
        <v>32.130000000000003</v>
      </c>
      <c r="M44">
        <v>41.55</v>
      </c>
    </row>
    <row r="45" spans="1:13" x14ac:dyDescent="0.25">
      <c r="A45">
        <v>41</v>
      </c>
      <c r="B45">
        <v>20.61</v>
      </c>
      <c r="C45">
        <v>21.5</v>
      </c>
      <c r="D45">
        <v>23.84</v>
      </c>
      <c r="E45">
        <v>23.74</v>
      </c>
      <c r="F45">
        <v>24.31</v>
      </c>
      <c r="G45">
        <v>29.43</v>
      </c>
      <c r="H45">
        <v>26.77</v>
      </c>
      <c r="I45">
        <v>31.08</v>
      </c>
      <c r="J45">
        <v>31.58</v>
      </c>
      <c r="K45">
        <v>39.53</v>
      </c>
      <c r="L45">
        <v>34.25</v>
      </c>
      <c r="M45">
        <v>40.049999999999997</v>
      </c>
    </row>
    <row r="46" spans="1:13" x14ac:dyDescent="0.25">
      <c r="A46">
        <v>42</v>
      </c>
      <c r="B46">
        <v>19.760000000000002</v>
      </c>
      <c r="C46">
        <v>24.5</v>
      </c>
      <c r="D46">
        <v>25.46</v>
      </c>
      <c r="E46">
        <v>24.58</v>
      </c>
      <c r="F46">
        <v>25.33</v>
      </c>
      <c r="G46">
        <v>30.51</v>
      </c>
      <c r="H46">
        <v>28.37</v>
      </c>
      <c r="I46">
        <v>34.31</v>
      </c>
      <c r="J46">
        <v>30.95</v>
      </c>
      <c r="K46">
        <v>36.31</v>
      </c>
      <c r="L46">
        <v>31.31</v>
      </c>
      <c r="M46">
        <v>42.56</v>
      </c>
    </row>
    <row r="47" spans="1:13" x14ac:dyDescent="0.25">
      <c r="A47">
        <v>43</v>
      </c>
      <c r="B47">
        <v>19.329999999999998</v>
      </c>
      <c r="C47">
        <v>21.61</v>
      </c>
      <c r="D47">
        <v>21.09</v>
      </c>
      <c r="E47">
        <v>25.56</v>
      </c>
      <c r="F47">
        <v>26.26</v>
      </c>
      <c r="G47">
        <v>27.82</v>
      </c>
      <c r="H47">
        <v>28.37</v>
      </c>
      <c r="I47">
        <v>33.979999999999997</v>
      </c>
      <c r="J47">
        <v>27.9</v>
      </c>
      <c r="K47">
        <v>38.619999999999997</v>
      </c>
      <c r="L47">
        <v>33.79</v>
      </c>
      <c r="M47">
        <v>40.270000000000003</v>
      </c>
    </row>
    <row r="48" spans="1:13" x14ac:dyDescent="0.25">
      <c r="A48">
        <v>44</v>
      </c>
      <c r="B48">
        <v>19.05</v>
      </c>
      <c r="C48">
        <v>19.75</v>
      </c>
      <c r="D48">
        <v>23.78</v>
      </c>
      <c r="E48">
        <v>26.54</v>
      </c>
      <c r="F48">
        <v>26.8</v>
      </c>
      <c r="G48">
        <v>30.07</v>
      </c>
      <c r="H48">
        <v>27.24</v>
      </c>
      <c r="I48">
        <v>32.85</v>
      </c>
      <c r="J48">
        <v>30.87</v>
      </c>
      <c r="K48">
        <v>36.94</v>
      </c>
      <c r="L48">
        <v>35.159999999999997</v>
      </c>
      <c r="M48">
        <v>40.69</v>
      </c>
    </row>
    <row r="49" spans="1:13" x14ac:dyDescent="0.25">
      <c r="A49">
        <v>45</v>
      </c>
      <c r="B49">
        <v>17.28</v>
      </c>
      <c r="C49">
        <v>21.63</v>
      </c>
      <c r="D49">
        <v>23.89</v>
      </c>
      <c r="E49">
        <v>27.28</v>
      </c>
      <c r="F49">
        <v>23.7</v>
      </c>
      <c r="G49">
        <v>29.75</v>
      </c>
      <c r="H49">
        <v>27.29</v>
      </c>
      <c r="I49">
        <v>35.770000000000003</v>
      </c>
      <c r="J49">
        <v>29.04</v>
      </c>
      <c r="K49">
        <v>36.74</v>
      </c>
      <c r="L49">
        <v>29.29</v>
      </c>
      <c r="M49">
        <v>40.24</v>
      </c>
    </row>
    <row r="50" spans="1:13" x14ac:dyDescent="0.25">
      <c r="A50">
        <v>46</v>
      </c>
      <c r="B50">
        <v>18.420000000000002</v>
      </c>
      <c r="C50">
        <v>21.59</v>
      </c>
      <c r="D50">
        <v>24.67</v>
      </c>
      <c r="E50">
        <v>25.41</v>
      </c>
      <c r="F50">
        <v>25</v>
      </c>
      <c r="G50">
        <v>30.24</v>
      </c>
      <c r="H50">
        <v>28.35</v>
      </c>
      <c r="I50">
        <v>31.39</v>
      </c>
      <c r="J50">
        <v>32</v>
      </c>
      <c r="K50">
        <v>38.33</v>
      </c>
      <c r="L50">
        <v>31.8</v>
      </c>
      <c r="M50">
        <v>40.520000000000003</v>
      </c>
    </row>
    <row r="51" spans="1:13" x14ac:dyDescent="0.25">
      <c r="A51">
        <v>47</v>
      </c>
      <c r="B51">
        <v>18.809999999999999</v>
      </c>
      <c r="C51">
        <v>17.95</v>
      </c>
      <c r="D51">
        <v>21.64</v>
      </c>
      <c r="E51">
        <v>26.78</v>
      </c>
      <c r="F51">
        <v>24.79</v>
      </c>
      <c r="G51">
        <v>29.93</v>
      </c>
      <c r="H51">
        <v>25.83</v>
      </c>
      <c r="I51">
        <v>30.71</v>
      </c>
      <c r="J51">
        <v>31.55</v>
      </c>
      <c r="K51">
        <v>37.979999999999997</v>
      </c>
      <c r="L51">
        <v>33.869999999999997</v>
      </c>
      <c r="M51">
        <v>38.86</v>
      </c>
    </row>
    <row r="52" spans="1:13" x14ac:dyDescent="0.25">
      <c r="A52">
        <v>48</v>
      </c>
      <c r="B52">
        <v>21.09</v>
      </c>
      <c r="C52">
        <v>21.92</v>
      </c>
      <c r="D52">
        <v>21.52</v>
      </c>
      <c r="E52">
        <v>25.37</v>
      </c>
      <c r="F52">
        <v>24.52</v>
      </c>
      <c r="G52">
        <v>33.18</v>
      </c>
      <c r="H52">
        <v>25.89</v>
      </c>
      <c r="I52">
        <v>31.96</v>
      </c>
      <c r="J52">
        <v>29.59</v>
      </c>
      <c r="K52">
        <v>34.64</v>
      </c>
      <c r="L52">
        <v>32.700000000000003</v>
      </c>
      <c r="M52">
        <v>38.340000000000003</v>
      </c>
    </row>
    <row r="53" spans="1:13" x14ac:dyDescent="0.25">
      <c r="A53">
        <v>49</v>
      </c>
      <c r="B53">
        <v>20.02</v>
      </c>
      <c r="C53">
        <v>21.65</v>
      </c>
      <c r="D53">
        <v>24.28</v>
      </c>
      <c r="E53">
        <v>25.58</v>
      </c>
      <c r="F53">
        <v>28.15</v>
      </c>
      <c r="G53">
        <v>28.54</v>
      </c>
      <c r="H53">
        <v>26.92</v>
      </c>
      <c r="I53">
        <v>32.93</v>
      </c>
      <c r="J53">
        <v>30.23</v>
      </c>
      <c r="K53">
        <v>39.21</v>
      </c>
      <c r="L53">
        <v>33.56</v>
      </c>
      <c r="M53">
        <v>42.89</v>
      </c>
    </row>
    <row r="54" spans="1:13" x14ac:dyDescent="0.25">
      <c r="A54">
        <v>50</v>
      </c>
      <c r="B54">
        <v>16.86</v>
      </c>
      <c r="C54">
        <v>23.04</v>
      </c>
      <c r="D54">
        <v>23.95</v>
      </c>
      <c r="E54">
        <v>24.39</v>
      </c>
      <c r="F54">
        <v>26.11</v>
      </c>
      <c r="G54">
        <v>28.7</v>
      </c>
      <c r="H54">
        <v>27.68</v>
      </c>
      <c r="I54">
        <v>33.369999999999997</v>
      </c>
      <c r="J54">
        <v>29.41</v>
      </c>
      <c r="K54">
        <v>39.07</v>
      </c>
      <c r="L54">
        <v>32.090000000000003</v>
      </c>
      <c r="M54">
        <v>39.229999999999997</v>
      </c>
    </row>
    <row r="55" spans="1:13" x14ac:dyDescent="0.25">
      <c r="A55">
        <v>51</v>
      </c>
      <c r="B55">
        <v>19.989999999999998</v>
      </c>
      <c r="C55">
        <v>24.77</v>
      </c>
      <c r="D55">
        <v>23.88</v>
      </c>
      <c r="E55">
        <v>25.12</v>
      </c>
      <c r="F55">
        <v>23.61</v>
      </c>
      <c r="G55">
        <v>28.57</v>
      </c>
      <c r="H55">
        <v>28.47</v>
      </c>
      <c r="I55">
        <v>32.64</v>
      </c>
      <c r="J55">
        <v>30.91</v>
      </c>
      <c r="K55">
        <v>36.06</v>
      </c>
      <c r="L55">
        <v>33.130000000000003</v>
      </c>
      <c r="M55">
        <v>39.01</v>
      </c>
    </row>
    <row r="56" spans="1:13" x14ac:dyDescent="0.25">
      <c r="A56">
        <v>52</v>
      </c>
      <c r="B56">
        <v>18.920000000000002</v>
      </c>
      <c r="C56">
        <v>23.69</v>
      </c>
      <c r="D56">
        <v>24.02</v>
      </c>
      <c r="E56">
        <v>24.47</v>
      </c>
      <c r="F56">
        <v>26.88</v>
      </c>
      <c r="G56">
        <v>28.67</v>
      </c>
      <c r="H56">
        <v>30.21</v>
      </c>
      <c r="I56">
        <v>33.53</v>
      </c>
      <c r="J56">
        <v>32.43</v>
      </c>
      <c r="K56">
        <v>37.590000000000003</v>
      </c>
      <c r="L56">
        <v>32.770000000000003</v>
      </c>
      <c r="M56">
        <v>37.270000000000003</v>
      </c>
    </row>
    <row r="57" spans="1:13" x14ac:dyDescent="0.25">
      <c r="A57">
        <v>53</v>
      </c>
      <c r="B57">
        <v>18.48</v>
      </c>
      <c r="C57">
        <v>21.6</v>
      </c>
      <c r="D57">
        <v>22.48</v>
      </c>
      <c r="E57">
        <v>25.04</v>
      </c>
      <c r="F57">
        <v>28.68</v>
      </c>
      <c r="G57">
        <v>28.54</v>
      </c>
      <c r="H57">
        <v>29.29</v>
      </c>
      <c r="I57">
        <v>31.12</v>
      </c>
      <c r="J57">
        <v>29.52</v>
      </c>
      <c r="K57">
        <v>37.74</v>
      </c>
      <c r="L57">
        <v>34.75</v>
      </c>
      <c r="M57">
        <v>39.54</v>
      </c>
    </row>
    <row r="58" spans="1:13" x14ac:dyDescent="0.25">
      <c r="A58">
        <v>54</v>
      </c>
      <c r="B58">
        <v>20.420000000000002</v>
      </c>
      <c r="C58">
        <v>20.34</v>
      </c>
      <c r="D58">
        <v>23.85</v>
      </c>
      <c r="E58">
        <v>28.08</v>
      </c>
      <c r="F58">
        <v>27.05</v>
      </c>
      <c r="G58">
        <v>31.28</v>
      </c>
      <c r="H58">
        <v>27.76</v>
      </c>
      <c r="I58">
        <v>35.17</v>
      </c>
      <c r="J58">
        <v>31.76</v>
      </c>
      <c r="K58">
        <v>37.39</v>
      </c>
      <c r="L58">
        <v>33.380000000000003</v>
      </c>
      <c r="M58">
        <v>38.520000000000003</v>
      </c>
    </row>
    <row r="59" spans="1:13" x14ac:dyDescent="0.25">
      <c r="A59">
        <v>55</v>
      </c>
      <c r="B59">
        <v>21.05</v>
      </c>
      <c r="C59">
        <v>25.86</v>
      </c>
      <c r="D59">
        <v>23.94</v>
      </c>
      <c r="E59">
        <v>25.08</v>
      </c>
      <c r="F59">
        <v>23.22</v>
      </c>
      <c r="G59">
        <v>31.63</v>
      </c>
      <c r="H59">
        <v>27.97</v>
      </c>
      <c r="I59">
        <v>32.880000000000003</v>
      </c>
      <c r="J59">
        <v>30.2</v>
      </c>
      <c r="K59">
        <v>36.17</v>
      </c>
      <c r="L59">
        <v>33.51</v>
      </c>
      <c r="M59">
        <v>42.96</v>
      </c>
    </row>
    <row r="60" spans="1:13" x14ac:dyDescent="0.25">
      <c r="A60">
        <v>56</v>
      </c>
      <c r="B60">
        <v>20.9</v>
      </c>
      <c r="C60">
        <v>22.09</v>
      </c>
      <c r="D60">
        <v>22.43</v>
      </c>
      <c r="E60">
        <v>30.45</v>
      </c>
      <c r="F60">
        <v>24.77</v>
      </c>
      <c r="G60">
        <v>28.64</v>
      </c>
      <c r="H60">
        <v>26.5</v>
      </c>
      <c r="I60">
        <v>34.68</v>
      </c>
      <c r="J60">
        <v>29.81</v>
      </c>
      <c r="K60">
        <v>35.99</v>
      </c>
      <c r="L60">
        <v>32.380000000000003</v>
      </c>
      <c r="M60">
        <v>42.01</v>
      </c>
    </row>
    <row r="61" spans="1:13" x14ac:dyDescent="0.25">
      <c r="A61">
        <v>57</v>
      </c>
      <c r="B61">
        <v>18.239999999999998</v>
      </c>
      <c r="C61">
        <v>22.02</v>
      </c>
      <c r="D61">
        <v>26.3</v>
      </c>
      <c r="E61">
        <v>27.24</v>
      </c>
      <c r="F61">
        <v>27.4</v>
      </c>
      <c r="G61">
        <v>28.25</v>
      </c>
      <c r="H61">
        <v>27.97</v>
      </c>
      <c r="I61">
        <v>33.51</v>
      </c>
      <c r="J61">
        <v>30.84</v>
      </c>
      <c r="K61">
        <v>36.96</v>
      </c>
      <c r="L61">
        <v>32.270000000000003</v>
      </c>
      <c r="M61">
        <v>39.47</v>
      </c>
    </row>
    <row r="62" spans="1:13" x14ac:dyDescent="0.25">
      <c r="A62">
        <v>58</v>
      </c>
      <c r="B62">
        <v>19.04</v>
      </c>
      <c r="C62">
        <v>21.96</v>
      </c>
      <c r="D62">
        <v>24.21</v>
      </c>
      <c r="E62">
        <v>26.78</v>
      </c>
      <c r="F62">
        <v>24.44</v>
      </c>
      <c r="G62">
        <v>30.21</v>
      </c>
      <c r="H62">
        <v>27.57</v>
      </c>
      <c r="I62">
        <v>33.69</v>
      </c>
      <c r="J62">
        <v>29.45</v>
      </c>
      <c r="K62">
        <v>38.76</v>
      </c>
      <c r="L62">
        <v>32.35</v>
      </c>
      <c r="M62">
        <v>43.88</v>
      </c>
    </row>
    <row r="63" spans="1:13" x14ac:dyDescent="0.25">
      <c r="A63">
        <v>59</v>
      </c>
      <c r="B63">
        <v>20</v>
      </c>
      <c r="C63">
        <v>22.3</v>
      </c>
      <c r="D63">
        <v>21.71</v>
      </c>
      <c r="E63">
        <v>25.21</v>
      </c>
      <c r="F63">
        <v>26.17</v>
      </c>
      <c r="G63">
        <v>28.67</v>
      </c>
      <c r="H63">
        <v>28.48</v>
      </c>
      <c r="I63">
        <v>33.85</v>
      </c>
      <c r="J63">
        <v>30.17</v>
      </c>
      <c r="K63">
        <v>37.82</v>
      </c>
      <c r="L63">
        <v>33.590000000000003</v>
      </c>
      <c r="M63">
        <v>41.97</v>
      </c>
    </row>
    <row r="64" spans="1:13" x14ac:dyDescent="0.25">
      <c r="A64">
        <v>60</v>
      </c>
      <c r="B64">
        <v>20.96</v>
      </c>
      <c r="C64">
        <v>21.78</v>
      </c>
      <c r="D64">
        <v>24.48</v>
      </c>
      <c r="E64">
        <v>27.55</v>
      </c>
      <c r="F64">
        <v>26.66</v>
      </c>
      <c r="G64">
        <v>30.45</v>
      </c>
      <c r="H64">
        <v>26.76</v>
      </c>
      <c r="I64">
        <v>33.67</v>
      </c>
      <c r="J64">
        <v>29.2</v>
      </c>
      <c r="K64">
        <v>36.44</v>
      </c>
      <c r="L64">
        <v>32.369999999999997</v>
      </c>
      <c r="M64">
        <v>40.01</v>
      </c>
    </row>
    <row r="65" spans="1:13" x14ac:dyDescent="0.25">
      <c r="A65">
        <v>61</v>
      </c>
      <c r="B65">
        <v>18.78</v>
      </c>
      <c r="C65">
        <v>21.14</v>
      </c>
      <c r="D65">
        <v>22.04</v>
      </c>
      <c r="E65">
        <v>25.64</v>
      </c>
      <c r="F65">
        <v>24.11</v>
      </c>
      <c r="G65">
        <v>29.8</v>
      </c>
      <c r="H65">
        <v>28.78</v>
      </c>
      <c r="I65">
        <v>33.96</v>
      </c>
      <c r="J65">
        <v>33.950000000000003</v>
      </c>
      <c r="K65">
        <v>38.159999999999997</v>
      </c>
      <c r="L65">
        <v>33.43</v>
      </c>
      <c r="M65">
        <v>36.75</v>
      </c>
    </row>
    <row r="66" spans="1:13" x14ac:dyDescent="0.25">
      <c r="A66">
        <v>62</v>
      </c>
      <c r="B66">
        <v>19.22</v>
      </c>
      <c r="C66">
        <v>21.18</v>
      </c>
      <c r="D66">
        <v>24.68</v>
      </c>
      <c r="E66">
        <v>26.68</v>
      </c>
      <c r="F66">
        <v>25.41</v>
      </c>
      <c r="G66">
        <v>27.23</v>
      </c>
      <c r="H66">
        <v>30.3</v>
      </c>
      <c r="I66">
        <v>34.99</v>
      </c>
      <c r="J66">
        <v>31.05</v>
      </c>
      <c r="K66">
        <v>32.729999999999997</v>
      </c>
      <c r="L66">
        <v>36.11</v>
      </c>
      <c r="M66">
        <v>43.94</v>
      </c>
    </row>
    <row r="67" spans="1:13" x14ac:dyDescent="0.25">
      <c r="A67">
        <v>63</v>
      </c>
      <c r="B67">
        <v>17.84</v>
      </c>
      <c r="C67">
        <v>21.95</v>
      </c>
      <c r="D67">
        <v>25.24</v>
      </c>
      <c r="E67">
        <v>30.34</v>
      </c>
      <c r="F67">
        <v>20.64</v>
      </c>
      <c r="G67">
        <v>31.82</v>
      </c>
      <c r="H67">
        <v>27.84</v>
      </c>
      <c r="I67">
        <v>33.29</v>
      </c>
      <c r="J67">
        <v>29.95</v>
      </c>
      <c r="K67">
        <v>38.72</v>
      </c>
      <c r="L67">
        <v>34.31</v>
      </c>
      <c r="M67">
        <v>38.42</v>
      </c>
    </row>
    <row r="68" spans="1:13" x14ac:dyDescent="0.25">
      <c r="A68">
        <v>64</v>
      </c>
      <c r="B68">
        <v>17.71</v>
      </c>
      <c r="C68">
        <v>21.18</v>
      </c>
      <c r="D68">
        <v>22.27</v>
      </c>
      <c r="E68">
        <v>26.36</v>
      </c>
      <c r="F68">
        <v>23.96</v>
      </c>
      <c r="G68">
        <v>32.19</v>
      </c>
      <c r="H68">
        <v>28.6</v>
      </c>
      <c r="I68">
        <v>34.06</v>
      </c>
      <c r="J68">
        <v>31.32</v>
      </c>
      <c r="K68">
        <v>34.39</v>
      </c>
      <c r="L68">
        <v>32.51</v>
      </c>
      <c r="M68">
        <v>38.03</v>
      </c>
    </row>
    <row r="69" spans="1:13" x14ac:dyDescent="0.25">
      <c r="A69">
        <v>65</v>
      </c>
      <c r="B69">
        <v>20.72</v>
      </c>
      <c r="C69">
        <v>20.93</v>
      </c>
      <c r="D69">
        <v>24.95</v>
      </c>
      <c r="E69">
        <v>28.22</v>
      </c>
      <c r="F69">
        <v>25.12</v>
      </c>
      <c r="G69">
        <v>28.58</v>
      </c>
      <c r="H69">
        <v>29.04</v>
      </c>
      <c r="I69">
        <v>32.869999999999997</v>
      </c>
      <c r="J69">
        <v>30.83</v>
      </c>
      <c r="K69">
        <v>36.46</v>
      </c>
      <c r="L69">
        <v>34.799999999999997</v>
      </c>
      <c r="M69">
        <v>42.03</v>
      </c>
    </row>
    <row r="70" spans="1:13" x14ac:dyDescent="0.25">
      <c r="A70">
        <v>66</v>
      </c>
      <c r="B70">
        <v>21.53</v>
      </c>
      <c r="C70">
        <v>22.16</v>
      </c>
      <c r="D70">
        <v>24.12</v>
      </c>
      <c r="E70">
        <v>25.45</v>
      </c>
      <c r="F70">
        <v>23.63</v>
      </c>
      <c r="G70">
        <v>28.92</v>
      </c>
      <c r="H70">
        <v>27.4</v>
      </c>
      <c r="I70">
        <v>35.159999999999997</v>
      </c>
      <c r="J70">
        <v>30.67</v>
      </c>
      <c r="K70">
        <v>35.32</v>
      </c>
      <c r="L70">
        <v>32.39</v>
      </c>
      <c r="M70">
        <v>44.16</v>
      </c>
    </row>
    <row r="71" spans="1:13" x14ac:dyDescent="0.25">
      <c r="A71">
        <v>67</v>
      </c>
      <c r="B71">
        <v>19.39</v>
      </c>
      <c r="C71">
        <v>21.62</v>
      </c>
      <c r="D71">
        <v>24.73</v>
      </c>
      <c r="E71">
        <v>26.45</v>
      </c>
      <c r="F71">
        <v>27.95</v>
      </c>
      <c r="G71">
        <v>29.93</v>
      </c>
      <c r="H71">
        <v>28.34</v>
      </c>
      <c r="I71">
        <v>31.99</v>
      </c>
      <c r="J71">
        <v>31.92</v>
      </c>
      <c r="K71">
        <v>35.06</v>
      </c>
      <c r="L71">
        <v>29.94</v>
      </c>
      <c r="M71">
        <v>42.58</v>
      </c>
    </row>
    <row r="72" spans="1:13" x14ac:dyDescent="0.25">
      <c r="A72">
        <v>68</v>
      </c>
      <c r="B72">
        <v>21.01</v>
      </c>
      <c r="C72">
        <v>24.26</v>
      </c>
      <c r="D72">
        <v>26.35</v>
      </c>
      <c r="E72">
        <v>29.16</v>
      </c>
      <c r="F72">
        <v>23.35</v>
      </c>
      <c r="G72">
        <v>30</v>
      </c>
      <c r="H72">
        <v>28.02</v>
      </c>
      <c r="I72">
        <v>35.700000000000003</v>
      </c>
      <c r="J72">
        <v>32.14</v>
      </c>
      <c r="K72">
        <v>38.74</v>
      </c>
      <c r="L72">
        <v>31.49</v>
      </c>
      <c r="M72">
        <v>41.35</v>
      </c>
    </row>
    <row r="73" spans="1:13" x14ac:dyDescent="0.25">
      <c r="A73">
        <v>69</v>
      </c>
      <c r="B73">
        <v>20.04</v>
      </c>
      <c r="C73">
        <v>18.02</v>
      </c>
      <c r="D73">
        <v>23.13</v>
      </c>
      <c r="E73">
        <v>25.56</v>
      </c>
      <c r="F73">
        <v>24.84</v>
      </c>
      <c r="G73">
        <v>30.49</v>
      </c>
      <c r="H73">
        <v>28.15</v>
      </c>
      <c r="I73">
        <v>32.94</v>
      </c>
      <c r="J73">
        <v>30.2</v>
      </c>
      <c r="K73">
        <v>36.299999999999997</v>
      </c>
      <c r="L73">
        <v>30.19</v>
      </c>
      <c r="M73">
        <v>41.39</v>
      </c>
    </row>
    <row r="74" spans="1:13" x14ac:dyDescent="0.25">
      <c r="A74">
        <v>70</v>
      </c>
      <c r="B74">
        <v>18.53</v>
      </c>
      <c r="C74">
        <v>23.64</v>
      </c>
      <c r="D74">
        <v>22.37</v>
      </c>
      <c r="E74">
        <v>29.22</v>
      </c>
      <c r="F74">
        <v>25.7</v>
      </c>
      <c r="G74">
        <v>32.520000000000003</v>
      </c>
      <c r="H74">
        <v>26.84</v>
      </c>
      <c r="I74">
        <v>30.85</v>
      </c>
      <c r="J74">
        <v>30.14</v>
      </c>
      <c r="K74">
        <v>37.520000000000003</v>
      </c>
      <c r="L74">
        <v>32.47</v>
      </c>
      <c r="M74">
        <v>41.78</v>
      </c>
    </row>
    <row r="75" spans="1:13" x14ac:dyDescent="0.25">
      <c r="A75">
        <v>71</v>
      </c>
      <c r="B75">
        <v>20.04</v>
      </c>
      <c r="C75">
        <v>23.87</v>
      </c>
      <c r="D75">
        <v>22.17</v>
      </c>
      <c r="E75">
        <v>27.56</v>
      </c>
      <c r="F75">
        <v>27.66</v>
      </c>
      <c r="G75">
        <v>29.23</v>
      </c>
      <c r="H75">
        <v>28.04</v>
      </c>
      <c r="I75">
        <v>33.19</v>
      </c>
      <c r="J75">
        <v>30.59</v>
      </c>
      <c r="K75">
        <v>36.93</v>
      </c>
      <c r="L75">
        <v>33.03</v>
      </c>
      <c r="M75">
        <v>41.64</v>
      </c>
    </row>
    <row r="76" spans="1:13" x14ac:dyDescent="0.25">
      <c r="A76">
        <v>72</v>
      </c>
      <c r="B76">
        <v>21.81</v>
      </c>
      <c r="C76">
        <v>18.89</v>
      </c>
      <c r="D76">
        <v>22.28</v>
      </c>
      <c r="E76">
        <v>25.66</v>
      </c>
      <c r="F76">
        <v>23.35</v>
      </c>
      <c r="G76">
        <v>28.3</v>
      </c>
      <c r="H76">
        <v>28.75</v>
      </c>
      <c r="I76">
        <v>31.98</v>
      </c>
      <c r="J76">
        <v>27.55</v>
      </c>
      <c r="K76">
        <v>37.72</v>
      </c>
      <c r="L76">
        <v>35.51</v>
      </c>
      <c r="M76">
        <v>40.92</v>
      </c>
    </row>
    <row r="77" spans="1:13" x14ac:dyDescent="0.25">
      <c r="A77">
        <v>73</v>
      </c>
      <c r="B77">
        <v>19.45</v>
      </c>
      <c r="C77">
        <v>21.49</v>
      </c>
      <c r="D77">
        <v>23.38</v>
      </c>
      <c r="E77">
        <v>27.45</v>
      </c>
      <c r="F77">
        <v>27.24</v>
      </c>
      <c r="G77">
        <v>27.43</v>
      </c>
      <c r="H77">
        <v>30.18</v>
      </c>
      <c r="I77">
        <v>34.26</v>
      </c>
      <c r="J77">
        <v>28.73</v>
      </c>
      <c r="K77">
        <v>37.119999999999997</v>
      </c>
      <c r="L77">
        <v>33.49</v>
      </c>
      <c r="M77">
        <v>40.659999999999997</v>
      </c>
    </row>
    <row r="78" spans="1:13" x14ac:dyDescent="0.25">
      <c r="A78">
        <v>74</v>
      </c>
      <c r="B78">
        <v>21.85</v>
      </c>
      <c r="C78">
        <v>21.44</v>
      </c>
      <c r="D78">
        <v>24.01</v>
      </c>
      <c r="E78">
        <v>27.96</v>
      </c>
      <c r="F78">
        <v>25.52</v>
      </c>
      <c r="G78">
        <v>28.4</v>
      </c>
      <c r="H78">
        <v>29.44</v>
      </c>
      <c r="I78">
        <v>32.020000000000003</v>
      </c>
      <c r="J78">
        <v>33.049999999999997</v>
      </c>
      <c r="K78">
        <v>35.08</v>
      </c>
      <c r="L78">
        <v>32.67</v>
      </c>
      <c r="M78">
        <v>40.409999999999997</v>
      </c>
    </row>
    <row r="79" spans="1:13" x14ac:dyDescent="0.25">
      <c r="A79">
        <v>75</v>
      </c>
      <c r="B79">
        <v>15.57</v>
      </c>
      <c r="C79">
        <v>19.89</v>
      </c>
      <c r="D79">
        <v>23.92</v>
      </c>
      <c r="E79">
        <v>27.43</v>
      </c>
      <c r="F79">
        <v>24.03</v>
      </c>
      <c r="G79">
        <v>29.45</v>
      </c>
      <c r="H79">
        <v>31.23</v>
      </c>
      <c r="I79">
        <v>32.33</v>
      </c>
      <c r="J79">
        <v>33.47</v>
      </c>
      <c r="K79">
        <v>38.49</v>
      </c>
      <c r="L79">
        <v>34.24</v>
      </c>
      <c r="M79">
        <v>39.369999999999997</v>
      </c>
    </row>
    <row r="80" spans="1:13" x14ac:dyDescent="0.25">
      <c r="A80">
        <v>76</v>
      </c>
      <c r="B80">
        <v>20.73</v>
      </c>
      <c r="C80">
        <v>20.83</v>
      </c>
      <c r="D80">
        <v>24.74</v>
      </c>
      <c r="E80">
        <v>24.14</v>
      </c>
      <c r="F80">
        <v>26.19</v>
      </c>
      <c r="G80">
        <v>32.19</v>
      </c>
      <c r="H80">
        <v>26.85</v>
      </c>
      <c r="I80">
        <v>30.17</v>
      </c>
      <c r="J80">
        <v>30.63</v>
      </c>
      <c r="K80">
        <v>36.26</v>
      </c>
      <c r="L80">
        <v>29.68</v>
      </c>
      <c r="M80">
        <v>40.08</v>
      </c>
    </row>
    <row r="81" spans="1:13" x14ac:dyDescent="0.25">
      <c r="A81">
        <v>77</v>
      </c>
      <c r="B81">
        <v>19.63</v>
      </c>
      <c r="C81">
        <v>20.329999999999998</v>
      </c>
      <c r="D81">
        <v>23.52</v>
      </c>
      <c r="E81">
        <v>25.41</v>
      </c>
      <c r="F81">
        <v>25.8</v>
      </c>
      <c r="G81">
        <v>28.72</v>
      </c>
      <c r="H81">
        <v>29.31</v>
      </c>
      <c r="I81">
        <v>32.32</v>
      </c>
      <c r="J81">
        <v>31.86</v>
      </c>
      <c r="K81">
        <v>34.67</v>
      </c>
      <c r="L81">
        <v>33.35</v>
      </c>
      <c r="M81">
        <v>37.96</v>
      </c>
    </row>
    <row r="82" spans="1:13" x14ac:dyDescent="0.25">
      <c r="A82">
        <v>78</v>
      </c>
      <c r="B82">
        <v>19.05</v>
      </c>
      <c r="C82">
        <v>24.63</v>
      </c>
      <c r="D82">
        <v>25.68</v>
      </c>
      <c r="E82">
        <v>26.13</v>
      </c>
      <c r="F82">
        <v>24.6</v>
      </c>
      <c r="G82">
        <v>29.84</v>
      </c>
      <c r="H82">
        <v>28.28</v>
      </c>
      <c r="I82">
        <v>29.36</v>
      </c>
      <c r="J82">
        <v>31.47</v>
      </c>
      <c r="K82">
        <v>36.36</v>
      </c>
      <c r="L82">
        <v>34.159999999999997</v>
      </c>
      <c r="M82">
        <v>40.35</v>
      </c>
    </row>
    <row r="83" spans="1:13" x14ac:dyDescent="0.25">
      <c r="A83">
        <v>79</v>
      </c>
      <c r="B83">
        <v>19.64</v>
      </c>
      <c r="C83">
        <v>23.4</v>
      </c>
      <c r="D83">
        <v>23.1</v>
      </c>
      <c r="E83">
        <v>26.39</v>
      </c>
      <c r="F83">
        <v>25.6</v>
      </c>
      <c r="G83">
        <v>29.48</v>
      </c>
      <c r="H83">
        <v>31.28</v>
      </c>
      <c r="I83">
        <v>30.62</v>
      </c>
      <c r="J83">
        <v>35.619999999999997</v>
      </c>
      <c r="K83">
        <v>39.25</v>
      </c>
      <c r="L83">
        <v>30.78</v>
      </c>
      <c r="M83">
        <v>39.020000000000003</v>
      </c>
    </row>
    <row r="84" spans="1:13" x14ac:dyDescent="0.25">
      <c r="A84">
        <v>80</v>
      </c>
      <c r="B84">
        <v>16.52</v>
      </c>
      <c r="C84">
        <v>23.91</v>
      </c>
      <c r="D84">
        <v>27.58</v>
      </c>
      <c r="E84">
        <v>27.43</v>
      </c>
      <c r="F84">
        <v>24.92</v>
      </c>
      <c r="G84">
        <v>31.28</v>
      </c>
      <c r="H84">
        <v>26.79</v>
      </c>
      <c r="I84">
        <v>34.14</v>
      </c>
      <c r="J84">
        <v>32.68</v>
      </c>
      <c r="K84">
        <v>38.28</v>
      </c>
      <c r="L84">
        <v>34.72</v>
      </c>
      <c r="M84">
        <v>38.840000000000003</v>
      </c>
    </row>
    <row r="85" spans="1:13" x14ac:dyDescent="0.25">
      <c r="A85">
        <v>81</v>
      </c>
      <c r="B85">
        <v>19.170000000000002</v>
      </c>
      <c r="C85">
        <v>23.08</v>
      </c>
      <c r="D85">
        <v>24.44</v>
      </c>
      <c r="E85">
        <v>26.77</v>
      </c>
      <c r="F85">
        <v>25.67</v>
      </c>
      <c r="G85">
        <v>33.29</v>
      </c>
      <c r="H85">
        <v>26.74</v>
      </c>
      <c r="I85">
        <v>34.18</v>
      </c>
      <c r="J85">
        <v>30.81</v>
      </c>
      <c r="K85">
        <v>36.479999999999997</v>
      </c>
      <c r="L85">
        <v>33.51</v>
      </c>
      <c r="M85">
        <v>40.770000000000003</v>
      </c>
    </row>
    <row r="86" spans="1:13" x14ac:dyDescent="0.25">
      <c r="A86">
        <v>82</v>
      </c>
      <c r="B86">
        <v>20.04</v>
      </c>
      <c r="C86">
        <v>20.309999999999999</v>
      </c>
      <c r="D86">
        <v>22.21</v>
      </c>
      <c r="E86">
        <v>24.5</v>
      </c>
      <c r="F86">
        <v>26.49</v>
      </c>
      <c r="G86">
        <v>28.7</v>
      </c>
      <c r="H86">
        <v>27.1</v>
      </c>
      <c r="I86">
        <v>33.64</v>
      </c>
      <c r="J86">
        <v>29.57</v>
      </c>
      <c r="K86">
        <v>36.479999999999997</v>
      </c>
      <c r="L86">
        <v>32.380000000000003</v>
      </c>
      <c r="M86">
        <v>42.59</v>
      </c>
    </row>
    <row r="87" spans="1:13" x14ac:dyDescent="0.25">
      <c r="A87">
        <v>83</v>
      </c>
      <c r="B87">
        <v>21.72</v>
      </c>
      <c r="C87">
        <v>21.21</v>
      </c>
      <c r="D87">
        <v>21.89</v>
      </c>
      <c r="E87">
        <v>27.07</v>
      </c>
      <c r="F87">
        <v>27.88</v>
      </c>
      <c r="G87">
        <v>28.77</v>
      </c>
      <c r="H87">
        <v>24.81</v>
      </c>
      <c r="I87">
        <v>31.55</v>
      </c>
      <c r="J87">
        <v>28.59</v>
      </c>
      <c r="K87">
        <v>36.520000000000003</v>
      </c>
      <c r="L87">
        <v>33.950000000000003</v>
      </c>
      <c r="M87">
        <v>41.88</v>
      </c>
    </row>
    <row r="88" spans="1:13" x14ac:dyDescent="0.25">
      <c r="A88">
        <v>84</v>
      </c>
      <c r="B88">
        <v>18.72</v>
      </c>
      <c r="C88">
        <v>22.73</v>
      </c>
      <c r="D88">
        <v>24.22</v>
      </c>
      <c r="E88">
        <v>27.42</v>
      </c>
      <c r="F88">
        <v>23.64</v>
      </c>
      <c r="G88">
        <v>31.07</v>
      </c>
      <c r="H88">
        <v>27.21</v>
      </c>
      <c r="I88">
        <v>32.93</v>
      </c>
      <c r="J88">
        <v>31.31</v>
      </c>
      <c r="K88">
        <v>40.119999999999997</v>
      </c>
      <c r="L88">
        <v>36.409999999999997</v>
      </c>
      <c r="M88">
        <v>38.14</v>
      </c>
    </row>
    <row r="89" spans="1:13" x14ac:dyDescent="0.25">
      <c r="A89">
        <v>85</v>
      </c>
      <c r="B89">
        <v>18.29</v>
      </c>
      <c r="C89">
        <v>20.170000000000002</v>
      </c>
      <c r="D89">
        <v>23.16</v>
      </c>
      <c r="E89">
        <v>27.34</v>
      </c>
      <c r="F89">
        <v>28.7</v>
      </c>
      <c r="G89">
        <v>30.52</v>
      </c>
      <c r="H89">
        <v>26.86</v>
      </c>
      <c r="I89">
        <v>32.99</v>
      </c>
      <c r="J89">
        <v>29.87</v>
      </c>
      <c r="K89">
        <v>37.57</v>
      </c>
      <c r="L89">
        <v>33.270000000000003</v>
      </c>
      <c r="M89">
        <v>39.020000000000003</v>
      </c>
    </row>
    <row r="90" spans="1:13" x14ac:dyDescent="0.25">
      <c r="A90">
        <v>86</v>
      </c>
      <c r="B90">
        <v>18.75</v>
      </c>
      <c r="C90">
        <v>23.07</v>
      </c>
      <c r="D90">
        <v>24.57</v>
      </c>
      <c r="E90">
        <v>28.12</v>
      </c>
      <c r="F90">
        <v>22.57</v>
      </c>
      <c r="G90">
        <v>32.270000000000003</v>
      </c>
      <c r="H90">
        <v>28.23</v>
      </c>
      <c r="I90">
        <v>31.26</v>
      </c>
      <c r="J90">
        <v>28.87</v>
      </c>
      <c r="K90">
        <v>37.65</v>
      </c>
      <c r="L90">
        <v>33.369999999999997</v>
      </c>
      <c r="M90">
        <v>41.91</v>
      </c>
    </row>
    <row r="91" spans="1:13" x14ac:dyDescent="0.25">
      <c r="A91">
        <v>87</v>
      </c>
      <c r="B91">
        <v>20.87</v>
      </c>
      <c r="C91">
        <v>21.64</v>
      </c>
      <c r="D91">
        <v>24.21</v>
      </c>
      <c r="E91">
        <v>27.75</v>
      </c>
      <c r="F91">
        <v>25.27</v>
      </c>
      <c r="G91">
        <v>30.38</v>
      </c>
      <c r="H91">
        <v>28.51</v>
      </c>
      <c r="I91">
        <v>35.26</v>
      </c>
      <c r="J91">
        <v>30.03</v>
      </c>
      <c r="K91">
        <v>38.549999999999997</v>
      </c>
      <c r="L91">
        <v>32.31</v>
      </c>
      <c r="M91">
        <v>39.03</v>
      </c>
    </row>
    <row r="92" spans="1:13" x14ac:dyDescent="0.25">
      <c r="A92">
        <v>88</v>
      </c>
      <c r="B92">
        <v>19.989999999999998</v>
      </c>
      <c r="C92">
        <v>21.44</v>
      </c>
      <c r="D92">
        <v>23.39</v>
      </c>
      <c r="E92">
        <v>27.19</v>
      </c>
      <c r="F92">
        <v>26.38</v>
      </c>
      <c r="G92">
        <v>28.96</v>
      </c>
      <c r="H92">
        <v>30.81</v>
      </c>
      <c r="I92">
        <v>34.32</v>
      </c>
      <c r="J92">
        <v>29.38</v>
      </c>
      <c r="K92">
        <v>37.36</v>
      </c>
      <c r="L92">
        <v>31.73</v>
      </c>
      <c r="M92">
        <v>40.159999999999997</v>
      </c>
    </row>
    <row r="93" spans="1:13" x14ac:dyDescent="0.25">
      <c r="A93">
        <v>89</v>
      </c>
      <c r="B93">
        <v>18.71</v>
      </c>
      <c r="C93">
        <v>23.07</v>
      </c>
      <c r="D93">
        <v>22.23</v>
      </c>
      <c r="E93">
        <v>26.39</v>
      </c>
      <c r="F93">
        <v>25.92</v>
      </c>
      <c r="G93">
        <v>30.39</v>
      </c>
      <c r="H93">
        <v>29.43</v>
      </c>
      <c r="I93">
        <v>32.67</v>
      </c>
      <c r="J93">
        <v>33.53</v>
      </c>
      <c r="K93">
        <v>36.61</v>
      </c>
      <c r="L93">
        <v>34.25</v>
      </c>
      <c r="M93">
        <v>41.33</v>
      </c>
    </row>
    <row r="94" spans="1:13" x14ac:dyDescent="0.25">
      <c r="A94">
        <v>90</v>
      </c>
      <c r="B94">
        <v>20.27</v>
      </c>
      <c r="C94">
        <v>22.67</v>
      </c>
      <c r="D94">
        <v>21.23</v>
      </c>
      <c r="E94">
        <v>24.01</v>
      </c>
      <c r="F94">
        <v>24.57</v>
      </c>
      <c r="G94">
        <v>31.16</v>
      </c>
      <c r="H94">
        <v>27.13</v>
      </c>
      <c r="I94">
        <v>33.04</v>
      </c>
      <c r="J94">
        <v>32.32</v>
      </c>
      <c r="K94">
        <v>36.71</v>
      </c>
      <c r="L94">
        <v>31.72</v>
      </c>
      <c r="M94">
        <v>39.049999999999997</v>
      </c>
    </row>
    <row r="95" spans="1:13" x14ac:dyDescent="0.25">
      <c r="A95">
        <v>91</v>
      </c>
      <c r="B95">
        <v>19.649999999999999</v>
      </c>
      <c r="C95">
        <v>21.46</v>
      </c>
      <c r="D95">
        <v>22.83</v>
      </c>
      <c r="E95">
        <v>27.14</v>
      </c>
      <c r="F95">
        <v>25.19</v>
      </c>
      <c r="G95">
        <v>30.73</v>
      </c>
      <c r="H95">
        <v>26.65</v>
      </c>
      <c r="I95">
        <v>33.31</v>
      </c>
      <c r="J95">
        <v>30.99</v>
      </c>
      <c r="K95">
        <v>36.89</v>
      </c>
      <c r="L95">
        <v>33.11</v>
      </c>
      <c r="M95">
        <v>40.659999999999997</v>
      </c>
    </row>
    <row r="96" spans="1:13" x14ac:dyDescent="0.25">
      <c r="A96">
        <v>92</v>
      </c>
      <c r="B96">
        <v>20.95</v>
      </c>
      <c r="C96">
        <v>23.74</v>
      </c>
      <c r="D96">
        <v>24.78</v>
      </c>
      <c r="E96">
        <v>26.81</v>
      </c>
      <c r="F96">
        <v>24.76</v>
      </c>
      <c r="G96">
        <v>30.26</v>
      </c>
      <c r="H96">
        <v>28.74</v>
      </c>
      <c r="I96">
        <v>29.94</v>
      </c>
      <c r="J96">
        <v>33.22</v>
      </c>
      <c r="K96">
        <v>36.94</v>
      </c>
      <c r="L96">
        <v>32.28</v>
      </c>
      <c r="M96">
        <v>38.5</v>
      </c>
    </row>
    <row r="97" spans="1:13" x14ac:dyDescent="0.25">
      <c r="A97">
        <v>93</v>
      </c>
      <c r="B97">
        <v>18.45</v>
      </c>
      <c r="C97">
        <v>20.38</v>
      </c>
      <c r="D97">
        <v>23.82</v>
      </c>
      <c r="E97">
        <v>26.91</v>
      </c>
      <c r="F97">
        <v>24.62</v>
      </c>
      <c r="G97">
        <v>31.1</v>
      </c>
      <c r="H97">
        <v>26.02</v>
      </c>
      <c r="I97">
        <v>32.630000000000003</v>
      </c>
      <c r="J97">
        <v>31.12</v>
      </c>
      <c r="K97">
        <v>38.090000000000003</v>
      </c>
      <c r="L97">
        <v>33.72</v>
      </c>
      <c r="M97">
        <v>39.6</v>
      </c>
    </row>
    <row r="98" spans="1:13" x14ac:dyDescent="0.25">
      <c r="A98">
        <v>94</v>
      </c>
      <c r="B98">
        <v>19.010000000000002</v>
      </c>
      <c r="C98">
        <v>22.92</v>
      </c>
      <c r="D98">
        <v>21.63</v>
      </c>
      <c r="E98">
        <v>24.58</v>
      </c>
      <c r="F98">
        <v>26.77</v>
      </c>
      <c r="G98">
        <v>31.25</v>
      </c>
      <c r="H98">
        <v>30.75</v>
      </c>
      <c r="I98">
        <v>31.98</v>
      </c>
      <c r="J98">
        <v>29.71</v>
      </c>
      <c r="K98">
        <v>37.08</v>
      </c>
      <c r="L98">
        <v>33.5</v>
      </c>
      <c r="M98">
        <v>40.98</v>
      </c>
    </row>
    <row r="99" spans="1:13" x14ac:dyDescent="0.25">
      <c r="A99">
        <v>95</v>
      </c>
      <c r="B99">
        <v>18.91</v>
      </c>
      <c r="C99">
        <v>22.89</v>
      </c>
      <c r="D99">
        <v>23.76</v>
      </c>
      <c r="E99">
        <v>24.88</v>
      </c>
      <c r="F99">
        <v>26.04</v>
      </c>
      <c r="G99">
        <v>31.57</v>
      </c>
      <c r="H99">
        <v>29.77</v>
      </c>
      <c r="I99">
        <v>31.5</v>
      </c>
      <c r="J99">
        <v>33.28</v>
      </c>
      <c r="K99">
        <v>38.1</v>
      </c>
      <c r="L99">
        <v>34.56</v>
      </c>
      <c r="M99">
        <v>38.11</v>
      </c>
    </row>
    <row r="100" spans="1:13" x14ac:dyDescent="0.25">
      <c r="A100">
        <v>96</v>
      </c>
      <c r="B100">
        <v>17.3</v>
      </c>
      <c r="C100">
        <v>21.54</v>
      </c>
      <c r="D100">
        <v>24.08</v>
      </c>
      <c r="E100">
        <v>28.08</v>
      </c>
      <c r="F100">
        <v>24.46</v>
      </c>
      <c r="G100">
        <v>30.47</v>
      </c>
      <c r="H100">
        <v>27.3</v>
      </c>
      <c r="I100">
        <v>32.58</v>
      </c>
      <c r="J100">
        <v>31.81</v>
      </c>
      <c r="K100">
        <v>36.880000000000003</v>
      </c>
      <c r="L100">
        <v>32.229999999999997</v>
      </c>
      <c r="M100">
        <v>41.16</v>
      </c>
    </row>
    <row r="101" spans="1:13" x14ac:dyDescent="0.25">
      <c r="A101">
        <v>97</v>
      </c>
      <c r="B101">
        <v>19.940000000000001</v>
      </c>
      <c r="C101">
        <v>22.49</v>
      </c>
      <c r="D101">
        <v>22.17</v>
      </c>
      <c r="E101">
        <v>26.44</v>
      </c>
      <c r="F101">
        <v>26.85</v>
      </c>
      <c r="G101">
        <v>29.25</v>
      </c>
      <c r="H101">
        <v>25.43</v>
      </c>
      <c r="I101">
        <v>35.700000000000003</v>
      </c>
      <c r="J101">
        <v>29.44</v>
      </c>
      <c r="K101">
        <v>37.119999999999997</v>
      </c>
      <c r="L101">
        <v>32.6</v>
      </c>
      <c r="M101">
        <v>40.47</v>
      </c>
    </row>
    <row r="102" spans="1:13" x14ac:dyDescent="0.25">
      <c r="A102">
        <v>98</v>
      </c>
      <c r="B102">
        <v>19.89</v>
      </c>
      <c r="C102">
        <v>20.12</v>
      </c>
      <c r="D102">
        <v>23.73</v>
      </c>
      <c r="E102">
        <v>27.52</v>
      </c>
      <c r="F102">
        <v>25.96</v>
      </c>
      <c r="G102">
        <v>29.72</v>
      </c>
      <c r="H102">
        <v>30.03</v>
      </c>
      <c r="I102">
        <v>33.96</v>
      </c>
      <c r="J102">
        <v>30.71</v>
      </c>
      <c r="K102">
        <v>34</v>
      </c>
      <c r="L102">
        <v>31.53</v>
      </c>
      <c r="M102">
        <v>41.33</v>
      </c>
    </row>
    <row r="103" spans="1:13" x14ac:dyDescent="0.25">
      <c r="A103">
        <v>99</v>
      </c>
      <c r="B103">
        <v>19.510000000000002</v>
      </c>
      <c r="C103">
        <v>23.39</v>
      </c>
      <c r="D103">
        <v>23.59</v>
      </c>
      <c r="E103">
        <v>26.54</v>
      </c>
      <c r="F103">
        <v>26.72</v>
      </c>
      <c r="G103">
        <v>31.31</v>
      </c>
      <c r="H103">
        <v>27.83</v>
      </c>
      <c r="I103">
        <v>32.14</v>
      </c>
      <c r="J103">
        <v>29.69</v>
      </c>
      <c r="K103">
        <v>38.369999999999997</v>
      </c>
      <c r="L103">
        <v>32.33</v>
      </c>
      <c r="M103">
        <v>40.840000000000003</v>
      </c>
    </row>
    <row r="104" spans="1:13" x14ac:dyDescent="0.25">
      <c r="A104">
        <v>100</v>
      </c>
      <c r="B104">
        <v>19.149999999999999</v>
      </c>
      <c r="C104">
        <v>21.72</v>
      </c>
      <c r="D104">
        <v>21.79</v>
      </c>
      <c r="E104">
        <v>26.54</v>
      </c>
      <c r="F104">
        <v>26.44</v>
      </c>
      <c r="G104">
        <v>28.27</v>
      </c>
      <c r="H104">
        <v>29.86</v>
      </c>
      <c r="I104">
        <v>33.86</v>
      </c>
      <c r="J104">
        <v>28.93</v>
      </c>
      <c r="K104">
        <v>37.520000000000003</v>
      </c>
      <c r="L104">
        <v>33.57</v>
      </c>
      <c r="M104">
        <v>42.55</v>
      </c>
    </row>
    <row r="105" spans="1:13" x14ac:dyDescent="0.25">
      <c r="B105">
        <f>SUM(B5:B104)</f>
        <v>1934.4400000000003</v>
      </c>
      <c r="C105">
        <f t="shared" ref="C105:M105" si="0">SUM(C5:C104)</f>
        <v>2203.5899999999997</v>
      </c>
      <c r="D105">
        <f t="shared" si="0"/>
        <v>2353.3500000000013</v>
      </c>
      <c r="E105">
        <f t="shared" si="0"/>
        <v>2649.05</v>
      </c>
      <c r="F105">
        <f t="shared" si="0"/>
        <v>2559.71</v>
      </c>
      <c r="G105">
        <f t="shared" si="0"/>
        <v>2984.2600000000007</v>
      </c>
      <c r="H105">
        <f t="shared" si="0"/>
        <v>2816.0699999999997</v>
      </c>
      <c r="I105">
        <f t="shared" si="0"/>
        <v>3304.1899999999996</v>
      </c>
      <c r="J105">
        <f t="shared" si="0"/>
        <v>3091.64</v>
      </c>
      <c r="K105">
        <f t="shared" si="0"/>
        <v>3724.06</v>
      </c>
      <c r="L105">
        <f t="shared" si="0"/>
        <v>3282.6699999999996</v>
      </c>
      <c r="M105">
        <f t="shared" si="0"/>
        <v>4066.0800000000004</v>
      </c>
    </row>
    <row r="106" spans="1:13" x14ac:dyDescent="0.25">
      <c r="B106" s="3">
        <f>B105/100</f>
        <v>19.344400000000004</v>
      </c>
      <c r="C106" s="3">
        <f t="shared" ref="C106:M106" si="1">C105/100</f>
        <v>22.035899999999998</v>
      </c>
      <c r="D106" s="3">
        <f t="shared" si="1"/>
        <v>23.533500000000014</v>
      </c>
      <c r="E106" s="3">
        <f t="shared" si="1"/>
        <v>26.490500000000001</v>
      </c>
      <c r="F106" s="3">
        <f t="shared" si="1"/>
        <v>25.597100000000001</v>
      </c>
      <c r="G106" s="3">
        <f t="shared" si="1"/>
        <v>29.842600000000008</v>
      </c>
      <c r="H106" s="3">
        <f t="shared" si="1"/>
        <v>28.160699999999999</v>
      </c>
      <c r="I106" s="3">
        <f t="shared" si="1"/>
        <v>33.041899999999998</v>
      </c>
      <c r="J106" s="3">
        <f t="shared" si="1"/>
        <v>30.916399999999999</v>
      </c>
      <c r="K106" s="3">
        <f t="shared" si="1"/>
        <v>37.240600000000001</v>
      </c>
      <c r="L106" s="3">
        <f t="shared" si="1"/>
        <v>32.826699999999995</v>
      </c>
      <c r="M106" s="3">
        <f t="shared" si="1"/>
        <v>40.660800000000002</v>
      </c>
    </row>
    <row r="109" spans="1:13" ht="30" x14ac:dyDescent="0.25">
      <c r="A109" s="7" t="s">
        <v>11</v>
      </c>
      <c r="B109" s="4" t="s">
        <v>26</v>
      </c>
      <c r="C109" s="4" t="s">
        <v>12</v>
      </c>
    </row>
    <row r="110" spans="1:13" x14ac:dyDescent="0.25">
      <c r="A110" s="5">
        <v>7</v>
      </c>
      <c r="B110" s="6">
        <v>19.344400000000004</v>
      </c>
      <c r="C110" s="6">
        <v>22.035899999999998</v>
      </c>
    </row>
    <row r="111" spans="1:13" x14ac:dyDescent="0.25">
      <c r="A111" s="5">
        <v>14</v>
      </c>
      <c r="B111" s="6">
        <v>23.533500000000014</v>
      </c>
      <c r="C111" s="6">
        <v>26.490500000000001</v>
      </c>
    </row>
    <row r="112" spans="1:13" x14ac:dyDescent="0.25">
      <c r="A112" s="5">
        <v>21</v>
      </c>
      <c r="B112" s="6">
        <v>25.597100000000001</v>
      </c>
      <c r="C112" s="6">
        <v>29.842600000000008</v>
      </c>
    </row>
    <row r="113" spans="1:3" x14ac:dyDescent="0.25">
      <c r="A113" s="5">
        <v>28</v>
      </c>
      <c r="B113" s="6">
        <v>28.160699999999999</v>
      </c>
      <c r="C113" s="6">
        <v>33.041899999999998</v>
      </c>
    </row>
    <row r="114" spans="1:3" x14ac:dyDescent="0.25">
      <c r="A114" s="5">
        <v>56</v>
      </c>
      <c r="B114" s="6">
        <v>30.916399999999999</v>
      </c>
      <c r="C114" s="6">
        <v>37.240600000000001</v>
      </c>
    </row>
    <row r="115" spans="1:3" x14ac:dyDescent="0.25">
      <c r="A115" s="5">
        <v>90</v>
      </c>
      <c r="B115" s="6">
        <v>32.826699999999995</v>
      </c>
      <c r="C115" s="6">
        <v>40.660800000000002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10"/>
  <sheetViews>
    <sheetView workbookViewId="0">
      <selection activeCell="R20" sqref="R20"/>
    </sheetView>
  </sheetViews>
  <sheetFormatPr defaultRowHeight="15" x14ac:dyDescent="0.25"/>
  <sheetData>
    <row r="4" spans="2:14" x14ac:dyDescent="0.25"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2:14" x14ac:dyDescent="0.25">
      <c r="B5">
        <v>1</v>
      </c>
      <c r="C5">
        <v>20.25</v>
      </c>
      <c r="D5">
        <v>23.14</v>
      </c>
      <c r="E5">
        <v>21.38</v>
      </c>
      <c r="F5">
        <v>25.72</v>
      </c>
      <c r="G5">
        <v>26.04</v>
      </c>
      <c r="H5">
        <v>30.91</v>
      </c>
      <c r="I5">
        <v>26.76</v>
      </c>
      <c r="J5">
        <v>33.549999999999997</v>
      </c>
      <c r="K5">
        <v>28.61</v>
      </c>
      <c r="L5">
        <v>39.1</v>
      </c>
      <c r="M5">
        <v>34.39</v>
      </c>
      <c r="N5">
        <v>42</v>
      </c>
    </row>
    <row r="6" spans="2:14" x14ac:dyDescent="0.25">
      <c r="B6">
        <v>2</v>
      </c>
      <c r="C6">
        <v>19.29</v>
      </c>
      <c r="D6">
        <v>20.62</v>
      </c>
      <c r="E6">
        <v>22.87</v>
      </c>
      <c r="F6">
        <v>28.07</v>
      </c>
      <c r="G6">
        <v>26.34</v>
      </c>
      <c r="H6">
        <v>28.73</v>
      </c>
      <c r="I6">
        <v>27.16</v>
      </c>
      <c r="J6">
        <v>32.409999999999997</v>
      </c>
      <c r="K6">
        <v>30.1</v>
      </c>
      <c r="L6">
        <v>38.39</v>
      </c>
      <c r="M6">
        <v>35.86</v>
      </c>
      <c r="N6">
        <v>36.159999999999997</v>
      </c>
    </row>
    <row r="7" spans="2:14" x14ac:dyDescent="0.25">
      <c r="B7">
        <v>3</v>
      </c>
      <c r="C7">
        <v>20.47</v>
      </c>
      <c r="D7">
        <v>23.3</v>
      </c>
      <c r="E7">
        <v>22.99</v>
      </c>
      <c r="F7">
        <v>25.44</v>
      </c>
      <c r="G7">
        <v>27.12</v>
      </c>
      <c r="H7">
        <v>29.64</v>
      </c>
      <c r="I7">
        <v>29.12</v>
      </c>
      <c r="J7">
        <v>33.04</v>
      </c>
      <c r="K7">
        <v>31.01</v>
      </c>
      <c r="L7">
        <v>37.090000000000003</v>
      </c>
      <c r="M7">
        <v>30.9</v>
      </c>
      <c r="N7">
        <v>43.63</v>
      </c>
    </row>
    <row r="8" spans="2:14" x14ac:dyDescent="0.25">
      <c r="B8">
        <v>4</v>
      </c>
      <c r="C8">
        <v>21.78</v>
      </c>
      <c r="D8">
        <v>24.03</v>
      </c>
      <c r="E8">
        <v>22.3</v>
      </c>
      <c r="F8">
        <v>24.39</v>
      </c>
      <c r="G8">
        <v>27.08</v>
      </c>
      <c r="H8">
        <v>28.81</v>
      </c>
      <c r="I8">
        <v>28.92</v>
      </c>
      <c r="J8">
        <v>34.92</v>
      </c>
      <c r="K8">
        <v>31.07</v>
      </c>
      <c r="L8">
        <v>36.03</v>
      </c>
      <c r="M8">
        <v>33.840000000000003</v>
      </c>
      <c r="N8">
        <v>40.29</v>
      </c>
    </row>
    <row r="9" spans="2:14" x14ac:dyDescent="0.25">
      <c r="B9">
        <v>5</v>
      </c>
      <c r="C9">
        <v>19.149999999999999</v>
      </c>
      <c r="D9">
        <v>22.62</v>
      </c>
      <c r="E9">
        <v>23.26</v>
      </c>
      <c r="F9">
        <v>24.17</v>
      </c>
      <c r="G9">
        <v>23.43</v>
      </c>
      <c r="H9">
        <v>28.85</v>
      </c>
      <c r="I9">
        <v>27.97</v>
      </c>
      <c r="J9">
        <v>33.29</v>
      </c>
      <c r="K9">
        <v>30.32</v>
      </c>
      <c r="L9">
        <v>38.049999999999997</v>
      </c>
      <c r="M9">
        <v>32.020000000000003</v>
      </c>
      <c r="N9">
        <v>42.16</v>
      </c>
    </row>
    <row r="10" spans="2:14" x14ac:dyDescent="0.25">
      <c r="B10">
        <v>6</v>
      </c>
      <c r="C10">
        <v>19.149999999999999</v>
      </c>
      <c r="D10">
        <v>24.82</v>
      </c>
      <c r="E10">
        <v>24.11</v>
      </c>
      <c r="F10">
        <v>27.41</v>
      </c>
      <c r="G10">
        <v>24.09</v>
      </c>
      <c r="H10">
        <v>29.04</v>
      </c>
      <c r="I10">
        <v>28.18</v>
      </c>
      <c r="J10">
        <v>33.07</v>
      </c>
      <c r="K10">
        <v>31.93</v>
      </c>
      <c r="L10">
        <v>37.590000000000003</v>
      </c>
      <c r="M10">
        <v>32.270000000000003</v>
      </c>
      <c r="N10">
        <v>38.94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2"/>
  <sheetViews>
    <sheetView workbookViewId="0">
      <selection activeCell="Q12" sqref="Q12"/>
    </sheetView>
  </sheetViews>
  <sheetFormatPr defaultRowHeight="15" x14ac:dyDescent="0.25"/>
  <sheetData>
    <row r="4" spans="2:4" ht="47.25" x14ac:dyDescent="0.25">
      <c r="B4" s="48" t="s">
        <v>48</v>
      </c>
      <c r="C4" s="48" t="s">
        <v>51</v>
      </c>
      <c r="D4" s="49" t="s">
        <v>49</v>
      </c>
    </row>
    <row r="5" spans="2:4" ht="31.5" x14ac:dyDescent="0.25">
      <c r="B5" s="48">
        <v>1</v>
      </c>
      <c r="C5" s="48" t="s">
        <v>50</v>
      </c>
      <c r="D5" s="48">
        <v>3100</v>
      </c>
    </row>
    <row r="6" spans="2:4" ht="15.75" x14ac:dyDescent="0.25">
      <c r="B6" s="48">
        <v>2</v>
      </c>
      <c r="C6" s="48" t="s">
        <v>53</v>
      </c>
      <c r="D6" s="52">
        <v>2850</v>
      </c>
    </row>
    <row r="7" spans="2:4" ht="15.75" x14ac:dyDescent="0.25">
      <c r="B7" s="48">
        <v>3</v>
      </c>
      <c r="C7" s="48" t="s">
        <v>54</v>
      </c>
      <c r="D7" s="52">
        <v>2500</v>
      </c>
    </row>
    <row r="8" spans="2:4" ht="15.75" x14ac:dyDescent="0.25">
      <c r="B8" s="48">
        <v>4</v>
      </c>
      <c r="C8" s="48" t="s">
        <v>55</v>
      </c>
      <c r="D8" s="52">
        <v>1900</v>
      </c>
    </row>
    <row r="9" spans="2:4" ht="15.75" x14ac:dyDescent="0.25">
      <c r="B9" s="48">
        <v>5</v>
      </c>
      <c r="C9" s="48" t="s">
        <v>56</v>
      </c>
      <c r="D9" s="52">
        <v>2100</v>
      </c>
    </row>
    <row r="10" spans="2:4" ht="15.75" x14ac:dyDescent="0.25">
      <c r="B10" s="48">
        <v>6</v>
      </c>
      <c r="C10" s="48" t="s">
        <v>57</v>
      </c>
      <c r="D10" s="52">
        <v>2600</v>
      </c>
    </row>
    <row r="11" spans="2:4" ht="15.75" x14ac:dyDescent="0.25">
      <c r="B11" s="48">
        <v>7</v>
      </c>
      <c r="C11" s="48" t="s">
        <v>58</v>
      </c>
      <c r="D11" s="52">
        <v>2810</v>
      </c>
    </row>
    <row r="12" spans="2:4" ht="15.75" x14ac:dyDescent="0.25">
      <c r="B12" s="48">
        <v>8</v>
      </c>
      <c r="C12" s="48" t="s">
        <v>59</v>
      </c>
      <c r="D12" s="52">
        <v>3050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2"/>
  <sheetViews>
    <sheetView workbookViewId="0">
      <selection activeCell="P15" sqref="P15"/>
    </sheetView>
  </sheetViews>
  <sheetFormatPr defaultRowHeight="15" x14ac:dyDescent="0.25"/>
  <sheetData>
    <row r="4" spans="2:4" ht="15.75" thickBot="1" x14ac:dyDescent="0.3"/>
    <row r="5" spans="2:4" ht="48" thickBot="1" x14ac:dyDescent="0.3">
      <c r="B5" s="50" t="s">
        <v>48</v>
      </c>
      <c r="C5" s="51" t="s">
        <v>51</v>
      </c>
      <c r="D5" s="51" t="s">
        <v>52</v>
      </c>
    </row>
    <row r="6" spans="2:4" ht="16.5" thickBot="1" x14ac:dyDescent="0.3">
      <c r="B6" s="46">
        <v>1</v>
      </c>
      <c r="C6" s="47" t="s">
        <v>53</v>
      </c>
      <c r="D6" s="47">
        <v>5.8</v>
      </c>
    </row>
    <row r="7" spans="2:4" ht="16.5" thickBot="1" x14ac:dyDescent="0.3">
      <c r="B7" s="46">
        <v>2</v>
      </c>
      <c r="C7" s="47" t="s">
        <v>54</v>
      </c>
      <c r="D7" s="47">
        <v>5.5</v>
      </c>
    </row>
    <row r="8" spans="2:4" ht="16.5" thickBot="1" x14ac:dyDescent="0.3">
      <c r="B8" s="46">
        <v>3</v>
      </c>
      <c r="C8" s="47" t="s">
        <v>55</v>
      </c>
      <c r="D8" s="47">
        <v>4.3</v>
      </c>
    </row>
    <row r="9" spans="2:4" ht="16.5" thickBot="1" x14ac:dyDescent="0.3">
      <c r="B9" s="46">
        <v>4</v>
      </c>
      <c r="C9" s="47" t="s">
        <v>56</v>
      </c>
      <c r="D9" s="47">
        <v>4.5999999999999996</v>
      </c>
    </row>
    <row r="10" spans="2:4" ht="16.5" thickBot="1" x14ac:dyDescent="0.3">
      <c r="B10" s="46">
        <v>5</v>
      </c>
      <c r="C10" s="47" t="s">
        <v>57</v>
      </c>
      <c r="D10" s="47">
        <v>5</v>
      </c>
    </row>
    <row r="11" spans="2:4" ht="16.5" thickBot="1" x14ac:dyDescent="0.3">
      <c r="B11" s="46">
        <v>6</v>
      </c>
      <c r="C11" s="47" t="s">
        <v>58</v>
      </c>
      <c r="D11" s="47">
        <v>4.4000000000000004</v>
      </c>
    </row>
    <row r="12" spans="2:4" ht="16.5" thickBot="1" x14ac:dyDescent="0.3">
      <c r="B12" s="46">
        <v>7</v>
      </c>
      <c r="C12" s="47" t="s">
        <v>59</v>
      </c>
      <c r="D12" s="47">
        <v>4.9000000000000004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 6</vt:lpstr>
      <vt:lpstr>Sheet2</vt:lpstr>
      <vt:lpstr>Final Result</vt:lpstr>
      <vt:lpstr>105 c</vt:lpstr>
      <vt:lpstr>c</vt:lpstr>
      <vt:lpstr>f</vt:lpstr>
      <vt:lpstr>t</vt:lpstr>
      <vt:lpstr>Sheet1</vt:lpstr>
      <vt:lpstr>Sheet3</vt:lpstr>
      <vt:lpstr>RCPT</vt:lpstr>
      <vt:lpstr>Water Absorption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Dudhal Sir</cp:lastModifiedBy>
  <dcterms:created xsi:type="dcterms:W3CDTF">2026-01-14T17:28:07Z</dcterms:created>
  <dcterms:modified xsi:type="dcterms:W3CDTF">2026-01-19T01:27:40Z</dcterms:modified>
</cp:coreProperties>
</file>